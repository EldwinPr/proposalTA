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ifikasi Bahan" sheetId="1" r:id="rId5"/>
    <sheet state="visible" name="Kartu Stock" sheetId="2" r:id="rId6"/>
    <sheet state="visible" name="Form Responses Incoming" sheetId="3" r:id="rId7"/>
    <sheet state="visible" name="Form Responses Usage" sheetId="4" r:id="rId8"/>
    <sheet state="visible" name="Kode Barang" sheetId="5" r:id="rId9"/>
  </sheets>
  <definedNames>
    <definedName hidden="1" localSheetId="2" name="_xlnm._FilterDatabase">'Form Responses Incoming'!$A$1:$F$214</definedName>
    <definedName hidden="1" localSheetId="3" name="_xlnm._FilterDatabase">'Form Responses Usage'!$A$1:$F$1161</definedName>
  </definedNames>
  <calcPr/>
</workbook>
</file>

<file path=xl/sharedStrings.xml><?xml version="1.0" encoding="utf-8"?>
<sst xmlns="http://schemas.openxmlformats.org/spreadsheetml/2006/main" count="5436" uniqueCount="1107">
  <si>
    <t>Kode Bahan</t>
  </si>
  <si>
    <t>Nama Bahan Kimia</t>
  </si>
  <si>
    <t>Rumus Kimia</t>
  </si>
  <si>
    <t>Spesifikasi Teknis/Nomor Katalog</t>
  </si>
  <si>
    <t>Qty/Pack</t>
  </si>
  <si>
    <t>Unit/Pack</t>
  </si>
  <si>
    <t>Min. Qty</t>
  </si>
  <si>
    <t>Kegunaan Analisa</t>
  </si>
  <si>
    <t>SDS</t>
  </si>
  <si>
    <t>COA</t>
  </si>
  <si>
    <t>A1</t>
  </si>
  <si>
    <t>Stearic Acid</t>
  </si>
  <si>
    <t>C18H36O2</t>
  </si>
  <si>
    <t>1.75366.0100 SigmaAldrich</t>
  </si>
  <si>
    <t>gram</t>
  </si>
  <si>
    <t>OG</t>
  </si>
  <si>
    <t>https://drive.google.com/file/d/1DdKRl18J2QwtzrQO4h1eloQyiNbwU6u7/view?usp=sharing</t>
  </si>
  <si>
    <t>https://drive.google.com/file/d/1j5vRepveXAirePtUJGhK74Wuyr-An6DR/view?usp=drive_link</t>
  </si>
  <si>
    <t>A2</t>
  </si>
  <si>
    <t>1,8-Dihydroxy-2-(4-Sulfophenylazo)-Naphthalen-3,6-Disulfonic Acid Trisodium Salt/SPADNS</t>
  </si>
  <si>
    <t>-</t>
  </si>
  <si>
    <t>1.07998.0025 - SigmaAldrich</t>
  </si>
  <si>
    <t>F</t>
  </si>
  <si>
    <t>https://drive.google.com/file/d/1AfE_YWvNev5AogofXvKKQW93Vv6hzL4r/view?usp=drive_link</t>
  </si>
  <si>
    <t>https://drive.google.com/file/d/1ShXX4IcZruJ3yR0fFBpueCQU8p5lL5Xj/view?usp=drive_link</t>
  </si>
  <si>
    <t>A3</t>
  </si>
  <si>
    <t>N-(1-Naphtyl)ethylenediamine dihydrochloride NEDA</t>
  </si>
  <si>
    <t>1.06237.0025 - SigmaAldrich</t>
  </si>
  <si>
    <t xml:space="preserve">NO3, NO2, NO2-UA, 
</t>
  </si>
  <si>
    <t>https://drive.google.com/file/d/1ZfN2suCocxuoWple7vDu_Rbon5EIn9rv/view?usp=drive_link</t>
  </si>
  <si>
    <t>https://drive.google.com/file/d/15fYRttBMYwkTcbDsGTXW3_Y5qNQiUHv0/view?usp=drive_link</t>
  </si>
  <si>
    <t>A4</t>
  </si>
  <si>
    <t>Butir Cadmium</t>
  </si>
  <si>
    <t>Cd</t>
  </si>
  <si>
    <t>1.02001.0250 - SigmaAldrich</t>
  </si>
  <si>
    <t>NO3</t>
  </si>
  <si>
    <t>https://drive.google.com/file/d/1dGt-dAh6UeLitst0kRlyq4m298F47PLJ/view?usp=drive_link</t>
  </si>
  <si>
    <t>https://drive.google.com/file/d/1HzB9_yDC_nk3tX5uFx30Xc8KC-KQcBDI/view?usp=drive_link</t>
  </si>
  <si>
    <t>A5</t>
  </si>
  <si>
    <t>L-Glutamic Acid</t>
  </si>
  <si>
    <t>C5H9NO4</t>
  </si>
  <si>
    <t>1.00291.0250 - SigmaAldrich</t>
  </si>
  <si>
    <t>BOD</t>
  </si>
  <si>
    <t>https://drive.google.com/file/d/1ozk6syeIV0Ue0FEXudgvKrE1DQYpwCUP/view?usp=drive_link</t>
  </si>
  <si>
    <t>https://drive.google.com/file/d/1m54H1jyBNhV8VSlVLzHLZonT7pLjJXJG/view?usp=drive_link</t>
  </si>
  <si>
    <t>A6</t>
  </si>
  <si>
    <t>Starch Soluble</t>
  </si>
  <si>
    <t>(C₆H₁₀O₅)n</t>
  </si>
  <si>
    <t>1.01252.0100 - Merck</t>
  </si>
  <si>
    <t>Fenol, H2S-U, Ox,</t>
  </si>
  <si>
    <t>https://drive.google.com/file/d/1M5mJwkk6tnvF8TZD9bfSVcTBiEYSMqB9/view?usp=drive_link</t>
  </si>
  <si>
    <t>https://drive.google.com/file/d/1S49pU0urzJS_Ht2pjFy6Mv7FLHYDc9qV/view?usp=drive_link</t>
  </si>
  <si>
    <t>A7</t>
  </si>
  <si>
    <t>Tembaga(II) Sulfat Pentahidrat</t>
  </si>
  <si>
    <t>CuSO4.5H2O</t>
  </si>
  <si>
    <t>A-2002 - Smartlab</t>
  </si>
  <si>
    <t>NO3, Uji kinerja</t>
  </si>
  <si>
    <t>https://drive.google.com/file/d/1YfW6PobEyv9uVpt48GYv6PVkd3SndjmF/view?usp=drive_link</t>
  </si>
  <si>
    <t>https://drive.google.com/file/d/1ikmkfAPtlPsAayyDUlW3Aj4XXRI3tR_w/view?usp=drive_link</t>
  </si>
  <si>
    <t>A8</t>
  </si>
  <si>
    <t>Magnesium Chloride Hexahydrate</t>
  </si>
  <si>
    <t>MgCl2.6H2O</t>
  </si>
  <si>
    <t>1.05833.0250 - Merck</t>
  </si>
  <si>
    <t>OG, CN</t>
  </si>
  <si>
    <t>https://drive.google.com/open?id=1JyKmR43kNB5dlO_I18z2IaNJNkxddK4_</t>
  </si>
  <si>
    <t>https://drive.google.com/file/d/1rD2NG17jQt4oXdgyyyrRgzE3rYXTWJw_/view?usp=drive_link</t>
  </si>
  <si>
    <t>A9</t>
  </si>
  <si>
    <t>Potasium Iodida</t>
  </si>
  <si>
    <t>KI</t>
  </si>
  <si>
    <t>A-2039 - Smart - Lab</t>
  </si>
  <si>
    <t xml:space="preserve">Fenol, H2S-U, Ox, 
</t>
  </si>
  <si>
    <t>https://drive.google.com/file/d/1lDNPLLq060jHv1nXsQtN5V1i1V6MIBq3/view?usp=drive_link</t>
  </si>
  <si>
    <t>https://drive.google.com/file/d/1pI1dqkpT1JL7ja10DkX-DeccrmCMx1vK/view?usp=drive_link</t>
  </si>
  <si>
    <t>A10</t>
  </si>
  <si>
    <t>orto-Asam Fosfor 85%</t>
  </si>
  <si>
    <t>(COOH)₂.2 H₂O</t>
  </si>
  <si>
    <t>05074 - LobaChemie</t>
  </si>
  <si>
    <t>KMnO4</t>
  </si>
  <si>
    <t>https://drive.google.com/file/d/1tpnKnk1bCg1gfmLipTvLZGm5LVXPPx5x/view?usp=drive_link</t>
  </si>
  <si>
    <t>https://drive.google.com/file/d/1MUiO8uXF5m0_CMIO1JGDUDKWKAotu7Ja/view?usp=drive_link</t>
  </si>
  <si>
    <t>A11</t>
  </si>
  <si>
    <t>Potasium Klorida</t>
  </si>
  <si>
    <t>KCl</t>
  </si>
  <si>
    <t xml:space="preserve">1.04936.0250 - SigmaAldrich </t>
  </si>
  <si>
    <t>DHL,SO2</t>
  </si>
  <si>
    <t>https://drive.google.com/file/d/1JWO6qIekSxTqNtbZYxYjuVu17m4rIf1-/view?usp=drive_link</t>
  </si>
  <si>
    <t>https://drive.google.com/file/d/1Gwc7J4it9Mf-jdOlsg3MHO8KQ6vS4nq_/view?usp=drive_link</t>
  </si>
  <si>
    <t>A12</t>
  </si>
  <si>
    <t>Potasium Iodat</t>
  </si>
  <si>
    <t>KIO₃</t>
  </si>
  <si>
    <t>215929.0100 SigmaAldrich</t>
  </si>
  <si>
    <t>Ox</t>
  </si>
  <si>
    <t>https://drive.google.com/file/d/1Xz9d8fXaWwwcl3WuU8wmSu85eRabrWnP/view?usp=drive_link</t>
  </si>
  <si>
    <t>https://drive.google.com/file/d/1cmGRvcbqll72q9-1_WEBdsDzjcL8ZSzC/view?usp=drive_link</t>
  </si>
  <si>
    <t>A13</t>
  </si>
  <si>
    <t>Potasium Kromat</t>
  </si>
  <si>
    <t>K₂CrO₄</t>
  </si>
  <si>
    <t>05344 - LobaChemie</t>
  </si>
  <si>
    <t>cl--LC, CN</t>
  </si>
  <si>
    <t>https://drive.google.com/file/d/1vwPs9JQ13OVu7t_6KPKRh3GZztKZJOWT/view?usp=drive_link</t>
  </si>
  <si>
    <t>https://drive.google.com/file/d/190DC5GPJECq-pgBsz3TunDZEprShJ_i1/view?usp=drive_link</t>
  </si>
  <si>
    <t>A14</t>
  </si>
  <si>
    <t>Dodecyl Sulfate Sodium Salt</t>
  </si>
  <si>
    <t>C12H25NaO4S</t>
  </si>
  <si>
    <t>1.13760.0100 - SigmaAldrich</t>
  </si>
  <si>
    <t xml:space="preserve">MBAS, 
</t>
  </si>
  <si>
    <t>https://drive.google.com/file/d/1NBe4Nu8wZXQKhrTc4qmT4FFWq4mw1MQp/view?usp=drive_link</t>
  </si>
  <si>
    <t>https://drive.google.com/file/d/1n5I0Ma79RgMhHA-TVLrZvLTX6-iUgB7z/view?usp=drive_link</t>
  </si>
  <si>
    <t>A15</t>
  </si>
  <si>
    <t>Sulfanilamide</t>
  </si>
  <si>
    <t>C₆H₈N₂O₂S</t>
  </si>
  <si>
    <t>1.11799.0100 - Merck</t>
  </si>
  <si>
    <t>NO2</t>
  </si>
  <si>
    <t>https://drive.google.com/file/d/18sWr4sMHopSjXRE0KQgRHswI9bySBxXf/view?usp=drive_link</t>
  </si>
  <si>
    <t>https://drive.google.com/file/d/1hleB3eUTM0ZhwjdEfDtPDAFoxSLfuHkS/view?usp=drive_link</t>
  </si>
  <si>
    <t>A16</t>
  </si>
  <si>
    <t>Kalium Antimon(III) Oksida Tartrat Trihidrat</t>
  </si>
  <si>
    <t>K₂(SbO)₂C₈H₄O₁₀ . 3 H₂O</t>
  </si>
  <si>
    <t>1.08092.0250 - Supelco</t>
  </si>
  <si>
    <t>PO4</t>
  </si>
  <si>
    <t>https://drive.google.com/file/d/1QihKSjMwGC-miyFOosi6OW8vcDuFDXPT/view?usp=drive_link</t>
  </si>
  <si>
    <t>https://drive.google.com/file/d/1l1j0ojH4L7KmKCGwDR878tuyDybn3HO5/view?usp=drive_link</t>
  </si>
  <si>
    <t>A17</t>
  </si>
  <si>
    <t>Sulfanilic Acid</t>
  </si>
  <si>
    <t>NH₂C₆H₄SO₃H</t>
  </si>
  <si>
    <t>1.00686.0250 - Supelco</t>
  </si>
  <si>
    <t xml:space="preserve">NO2-UA
</t>
  </si>
  <si>
    <t>https://drive.google.com/file/d/1CUukh3PO4IS56vVlJtlCIDiXxaCUEJ5i/view?usp=drive_link</t>
  </si>
  <si>
    <t>https://drive.google.com/file/d/1fB_fMurrgsavZYLV8zvGMfl6Xdcw693a/view?usp=drive_link</t>
  </si>
  <si>
    <t>A18</t>
  </si>
  <si>
    <t>Manganese (II) Sulfate Monohydrate</t>
  </si>
  <si>
    <t>MnSO₄.H₂O</t>
  </si>
  <si>
    <t>1.05941.0250 - Supelco</t>
  </si>
  <si>
    <t>https://drive.google.com/file/d/1UrF-mAbO_IFEfRH8lPJNFu0Tj7FlzfpP/view?usp=drive_link</t>
  </si>
  <si>
    <t>https://drive.google.com/file/d/13f3HrFi9HF4rjj5QRFtW_P1bcAXXDz_t/view?usp=drive_link</t>
  </si>
  <si>
    <t>A19</t>
  </si>
  <si>
    <t>Potasium Hidrogen Ptalat</t>
  </si>
  <si>
    <t>C₈H₅KO₄</t>
  </si>
  <si>
    <t>1.04874.0250 - Supelco</t>
  </si>
  <si>
    <t>COD</t>
  </si>
  <si>
    <t>https://drive.google.com/file/d/1EXGvn7KRBd7RqZuEuWgwRAXSfYVJsib7/view?usp=drive_link</t>
  </si>
  <si>
    <t>https://drive.google.com/file/d/1b-1ZqydFX4zKl_NxJh0Y9HDavD6H6Si0/view?usp=drive_link</t>
  </si>
  <si>
    <t>A20</t>
  </si>
  <si>
    <t>Potasium Nitrat</t>
  </si>
  <si>
    <t>KNO₃</t>
  </si>
  <si>
    <t>1.05063.0500 - Supelco</t>
  </si>
  <si>
    <t xml:space="preserve">NO3,PO4
</t>
  </si>
  <si>
    <t>https://drive.google.com/file/d/1yZApZidjWgcbpKokYMp4hjhtlP-7ns_G/view?usp=drive_link</t>
  </si>
  <si>
    <t>https://drive.google.com/file/d/1k2fNOLKwqIkm2z8CUj68QWIvGXtZUdGE/view?usp=drive_link</t>
  </si>
  <si>
    <t>A21</t>
  </si>
  <si>
    <t>Di-Sodium Hidrogen Posfat Dodekahidrat</t>
  </si>
  <si>
    <t>Na₂HPO₄.12H₂O</t>
  </si>
  <si>
    <t>1.06579.0500 - Supelco</t>
  </si>
  <si>
    <t>https://drive.google.com/file/d/1vb1myK04IHP-Ju8sKQ3HFglu5AxW1pBa/view?usp=drive_link</t>
  </si>
  <si>
    <t>https://drive.google.com/file/d/1N0lYcrVwAM4yar9B-JHF2OQS_RT_1N2f/view?usp=drive_link</t>
  </si>
  <si>
    <t>A22</t>
  </si>
  <si>
    <t>Sodium Hidroksida</t>
  </si>
  <si>
    <t>NaOH</t>
  </si>
  <si>
    <t>1.06498.0500 - Supelco/ 605K6006 - Kanto Chemical</t>
  </si>
  <si>
    <t>NH3-LC, Cl-LC, Cr6+, CN, MBAS, fenol, formaldehide, H2S-U, NH3-UA, HCl, NH3-UE,</t>
  </si>
  <si>
    <t>https://drive.google.com/file/d/1kPRaamHZXJRJBvLTUCU_yKtyk7tIVjAE/view?usp=drive_link</t>
  </si>
  <si>
    <t>https://drive.google.com/file/d/1CbAF245YelBlIDhMWO-xXDuQgdKZ-l36/view?usp=drive_link</t>
  </si>
  <si>
    <t>https://drive.google.com/file/d/1HIAslhCb9wPxUvgG6_758ts0lOuGzS4O/view?usp=drive_link</t>
  </si>
  <si>
    <t>A23</t>
  </si>
  <si>
    <t>Sodium Dihidrogen Posfat Monohidrat</t>
  </si>
  <si>
    <t>NaH₂PO₄.H₂O</t>
  </si>
  <si>
    <t>1.06346.1000 - Supelco</t>
  </si>
  <si>
    <t>MBAS</t>
  </si>
  <si>
    <t>https://drive.google.com/file/d/1_2vEHaSNED5GjWsZHA06pCOgxXLekFcs/view?usp=drive_link</t>
  </si>
  <si>
    <t>https://drive.google.com/file/d/1UK1EDgucGEmqBzRc4ors3ltisTkjZbON/view?usp=drive_link</t>
  </si>
  <si>
    <t>A24</t>
  </si>
  <si>
    <t>Phenol</t>
  </si>
  <si>
    <t>C₆H₅OH</t>
  </si>
  <si>
    <t>1.00206.1000 - Supelco</t>
  </si>
  <si>
    <t>NH3</t>
  </si>
  <si>
    <t>https://drive.google.com/file/d/1d5r4SuZoUz_bJC-y006F-P_TawnC26v_/view?usp=drive_link</t>
  </si>
  <si>
    <t>https://drive.google.com/file/d/1khT69iSFS9yKmopFecHWmFYSdWSNDYYK/view?usp=drive_link</t>
  </si>
  <si>
    <t>A25</t>
  </si>
  <si>
    <t>Barium Klorida Dihidrat</t>
  </si>
  <si>
    <t>BaCl₂.2 H₂O</t>
  </si>
  <si>
    <t>1.01719.1000 - Supelco</t>
  </si>
  <si>
    <t>SO4</t>
  </si>
  <si>
    <t>https://drive.google.com/file/d/1Fxb3_5Us98a_Yx4EmAJS8XaTN-LPb9UK/view?usp=drive_link</t>
  </si>
  <si>
    <t>https://drive.google.com/file/d/1MTSlAXx9_pcYmg2fEQzhYzNnYEMzZOQe/view?usp=drive_link</t>
  </si>
  <si>
    <t>A26</t>
  </si>
  <si>
    <t>Amonium klorida</t>
  </si>
  <si>
    <t>NH4Cl</t>
  </si>
  <si>
    <t>1.01145.0500 - Supelco</t>
  </si>
  <si>
    <t xml:space="preserve">NH3-LC, NO3, 
</t>
  </si>
  <si>
    <t>https://drive.google.com/file/d/17NhN6YHTpkYN460kIXgadRQwtVlrE60X/view?usp=drive_link</t>
  </si>
  <si>
    <t>https://drive.google.com/file/d/1imnLgZJfoRGjZ-lYpNsefGSNK2rUleFe/view?usp=drive_link</t>
  </si>
  <si>
    <t>A27</t>
  </si>
  <si>
    <t>4-Aminoantipyrine 99% Extra Pure</t>
  </si>
  <si>
    <t>C11H13N3O</t>
  </si>
  <si>
    <t>1030 - LobaChemie</t>
  </si>
  <si>
    <t xml:space="preserve">Fenol </t>
  </si>
  <si>
    <t>https://drive.google.com/file/d/1fe46woaLI4ud8qugB5uBUuQ5fZasNhlC/view?usp=drive_link</t>
  </si>
  <si>
    <t>https://drive.google.com/file/d/1Nvay6PZdCTkvYxWc_ftXGrN2pNWsq8xu/view?usp=drive_link</t>
  </si>
  <si>
    <t>A28</t>
  </si>
  <si>
    <t>Sodium Azide AR</t>
  </si>
  <si>
    <t>NaN3</t>
  </si>
  <si>
    <t>5782 - LobaChemie</t>
  </si>
  <si>
    <t>https://drive.google.com/file/d/1K04vVPmwq_ndk8fuHABTMq7afz9vIXiI/view?usp=drive_link</t>
  </si>
  <si>
    <t>https://drive.google.com/file/d/1oTQokXMBOpZXZfwTEnL85jv3kLXKAM6Q/view?usp=drive_link</t>
  </si>
  <si>
    <t>A29</t>
  </si>
  <si>
    <t>Ammonium Molydate Tetrahydrate</t>
  </si>
  <si>
    <t>(NH4)6Mo7O24.4H2O</t>
  </si>
  <si>
    <t>1271 - LobaChemie</t>
  </si>
  <si>
    <t>PO4,</t>
  </si>
  <si>
    <t>https://drive.google.com/file/d/1A4YZSFZMNuM1cMNUkuIa4nYFe20ID85L/view?usp=drive_link</t>
  </si>
  <si>
    <t>https://drive.google.com/file/d/1iE-lO8JJLNSPI7_dCMI8fh65GhMGamNo/view?usp=drive_link</t>
  </si>
  <si>
    <t>A30</t>
  </si>
  <si>
    <t>Pararosaniline Chloride Extra Pure</t>
  </si>
  <si>
    <t>C19H18ClN3</t>
  </si>
  <si>
    <t>5129B - LobaChemie</t>
  </si>
  <si>
    <t>SO2 UA,</t>
  </si>
  <si>
    <t>https://drive.google.com/file/d/1rPcrNAW8rNU_Ems-dC2ur4d5ycds2IVn/view?usp=drive_link</t>
  </si>
  <si>
    <t>https://drive.google.com/file/d/1IM_S0bow3EzSYT9nGg5la-SyRdjLZs9S/view?usp=drive_link</t>
  </si>
  <si>
    <t>A31</t>
  </si>
  <si>
    <t>Zirconium Oxychloride Octahydrate</t>
  </si>
  <si>
    <t>ZrOCl2.8H2O</t>
  </si>
  <si>
    <t>6569 - LobaChemie</t>
  </si>
  <si>
    <t xml:space="preserve">F-LC, 
</t>
  </si>
  <si>
    <t>ZIRCONIUM OXYCHLORIDE OCTAHYDRATE AR</t>
  </si>
  <si>
    <t>https://drive.google.com/file/d/1Al5YqR5ve6fLiTPA4_RjfgTJLyT8TPRs/view?usp=drive_link</t>
  </si>
  <si>
    <t>A32</t>
  </si>
  <si>
    <t>Sodium Nitroprusside Dihydrate</t>
  </si>
  <si>
    <t>Na2[Fe(CN)5NO].2H2O</t>
  </si>
  <si>
    <t>5958 - LobaChemie</t>
  </si>
  <si>
    <t xml:space="preserve">NH3-UA, NH3-LC, NH3-UE,
</t>
  </si>
  <si>
    <t>https://drive.google.com/file/d/14XE_k2mD9dPLwC8DdbYsxniVf8xqNof-/view?usp=drive_link</t>
  </si>
  <si>
    <t>https://drive.google.com/file/d/1sW6e68t7NY9VTf-3reqfal9olsryYmRh/view?usp=drive_link</t>
  </si>
  <si>
    <t>A33</t>
  </si>
  <si>
    <t>Sodium Sulphite Anhydrous</t>
  </si>
  <si>
    <t>Na2SO3</t>
  </si>
  <si>
    <t>6024 - LobaChemie</t>
  </si>
  <si>
    <t>H2S,SO2 UA</t>
  </si>
  <si>
    <t>https://drive.google.com/file/d/1Tqqv2I_BTDm-S0M-c19PrIzn7cvRa4mw/view?usp=drive_link</t>
  </si>
  <si>
    <t>https://drive.google.com/file/d/1JFLCcjGAljdbn9gXMoVwcwUW8NMq_PFJ/view?usp=drive_link</t>
  </si>
  <si>
    <t>A34</t>
  </si>
  <si>
    <t>Tri-Sodium Citrate Dihydrate</t>
  </si>
  <si>
    <t>C6H5Na3O7.2H2O</t>
  </si>
  <si>
    <t>5835 - LobaChemie</t>
  </si>
  <si>
    <t>NH3-LC</t>
  </si>
  <si>
    <t>https://drive.google.com/file/d/1-3wxipAd_ICqM1sfvN39ORdkYRgauGTw/view?usp=drive_link</t>
  </si>
  <si>
    <t>https://drive.google.com/file/d/1dTNqSdc5afQIUqSd6SDyxGwLC4kGlQEp/view?usp=drive_link</t>
  </si>
  <si>
    <t>A35</t>
  </si>
  <si>
    <t>Sodium Acetate Anhydrous</t>
  </si>
  <si>
    <t>CH3.COONa</t>
  </si>
  <si>
    <t>5755 - LobaChemie</t>
  </si>
  <si>
    <t xml:space="preserve">CN, SO4, 
</t>
  </si>
  <si>
    <t>https://drive.google.com/file/d/1zRbp45vrOHGe0iul8fu5jIsHRpIu2Yt7/view?usp=drive_link</t>
  </si>
  <si>
    <t>https://drive.google.com/file/d/1Cs8GVoM9v5AaRv_tFWMmYC31HhfMzs9H/view?usp=drive_link</t>
  </si>
  <si>
    <t>A36</t>
  </si>
  <si>
    <t>Magnesium Sulphate Heptahydrate</t>
  </si>
  <si>
    <t>MgSO4.7H2O</t>
  </si>
  <si>
    <t>4479 - LobaChemie</t>
  </si>
  <si>
    <t>NO3,BOD</t>
  </si>
  <si>
    <t>https://drive.google.com/file/d/1S9ikHVPfKw5Vjsj2r6cyu9V9eDUgoH6k/view?usp=drive_link</t>
  </si>
  <si>
    <t>https://drive.google.com/file/d/1q3yskkK5kAQI2XELPH02C203AmgNkggI/view?usp=drive_link</t>
  </si>
  <si>
    <t>A37</t>
  </si>
  <si>
    <t>Sodium Nitrite</t>
  </si>
  <si>
    <t>NaNO2</t>
  </si>
  <si>
    <t>5954 - LobaChemie</t>
  </si>
  <si>
    <t xml:space="preserve">NO2,NO2 udara
</t>
  </si>
  <si>
    <t>https://drive.google.com/file/d/12U01qjJ7DYbmIbLEsZdbF5UKTzhcdfBw/view?usp=drive_link</t>
  </si>
  <si>
    <t>https://drive.google.com/file/d/1IPP2dG8BcIimkKe_ETMfSdMCoEFgtT7F/view?usp=drive_link</t>
  </si>
  <si>
    <t>A38</t>
  </si>
  <si>
    <t>Sulphamic Acid</t>
  </si>
  <si>
    <t>H2NSO3H</t>
  </si>
  <si>
    <t>6170 - LobaChemie</t>
  </si>
  <si>
    <t xml:space="preserve">OG, KMnO4,PO4,H2S,BOD,COD,Cr6+,NO2,MBAS,NH3 UA
</t>
  </si>
  <si>
    <t>https://drive.google.com/file/d/1ZDDnhZm1jQC-HBa6EtO0bqLq6AZgV8mI/view?usp=drive_link</t>
  </si>
  <si>
    <t>https://drive.google.com/file/d/1fUN48br2kZrSeKZz-qAdMrGsvtIE7pgn/view?usp=drive_link</t>
  </si>
  <si>
    <t>A39</t>
  </si>
  <si>
    <t>Potassium Ferricyanide</t>
  </si>
  <si>
    <t>K3(Fe(CN)6)</t>
  </si>
  <si>
    <t>5360 - LobaChemie</t>
  </si>
  <si>
    <t>https://drive.google.com/file/d/1PE815bCCiiBh9qeaNFesWVtXFkc50Nki/view?usp=drive_link</t>
  </si>
  <si>
    <t>https://drive.google.com/file/d/1A4EGKKklApyX2UCPkFMisS7pSvGhqBDY/view?usp=drive_link</t>
  </si>
  <si>
    <t>A40</t>
  </si>
  <si>
    <t>Phenolphthalein (Indicator)</t>
  </si>
  <si>
    <t>C10H14O4</t>
  </si>
  <si>
    <t>A2046 - SmartLab</t>
  </si>
  <si>
    <t>Alkaliniti, alkaliasidi, NaOH</t>
  </si>
  <si>
    <t>https://drive.google.com/file/d/13pUVZSmvQMlUHkh8zMNPGXyrUKNT6r62/view?usp=drive_link</t>
  </si>
  <si>
    <t>https://drive.google.com/file/d/17VH_mz4iw0CoeIMcDB8aa3WJamD8oE3U/view?usp=drive_link</t>
  </si>
  <si>
    <t>A41</t>
  </si>
  <si>
    <t>Mercury (II) Sulphate</t>
  </si>
  <si>
    <t>HgSO4</t>
  </si>
  <si>
    <t>A2073 - SmartLab</t>
  </si>
  <si>
    <t xml:space="preserve">COD-T, COD-S
</t>
  </si>
  <si>
    <t>https://drive.google.com/file/d/19xipR0HJiPcAvGbeP2A1qwG7Z6EXuEOc/view?usp=drive_link</t>
  </si>
  <si>
    <t>https://drive.google.com/file/d/1d3v53vZMKHg4xJn8W90cscKGXwCSVuFy/view?usp=drive_link</t>
  </si>
  <si>
    <t>A42</t>
  </si>
  <si>
    <t>Silver Sulphate</t>
  </si>
  <si>
    <t>Ag2SO4</t>
  </si>
  <si>
    <t>A2045 - SmartLab</t>
  </si>
  <si>
    <t>https://drive.google.com/file/d/1SJWB9nIA75176lE2CRcksf32Id57y_mK/view?usp=drive_link</t>
  </si>
  <si>
    <t>https://drive.google.com/file/d/1WHcsLKUx6lmOKnYvYSanGGZ3R0N33osf/view?usp=drive_link</t>
  </si>
  <si>
    <t>A43</t>
  </si>
  <si>
    <t>Methylene blue</t>
  </si>
  <si>
    <t>1592700010 - Sigmaaldrich</t>
  </si>
  <si>
    <t>https://drive.google.com/file/d/1dbJ6QDXk8ieBVzE78vrC9JyRusR-w9oM/view?usp=drive_link</t>
  </si>
  <si>
    <t>https://drive.google.com/file/d/1YVsFbyH9LKAclkrxQFx4dwEBOYNGoftZ/view?usp=drive_link</t>
  </si>
  <si>
    <t>A44</t>
  </si>
  <si>
    <t xml:space="preserve">Sodium Fluoride </t>
  </si>
  <si>
    <t>NaF</t>
  </si>
  <si>
    <t>1.06449.0250 - Sigmaaldrich</t>
  </si>
  <si>
    <t>https://drive.google.com/open?id=1PgrqTLdiXya9j2RrMnKrPrskLO5Wa074</t>
  </si>
  <si>
    <t>https://drive.google.com/file/d/1RE-JM3xL5w8YM48vwjqAdfC2f8ixODQG/view?usp=drive_link</t>
  </si>
  <si>
    <t>A45</t>
  </si>
  <si>
    <t>Sodium Chloride</t>
  </si>
  <si>
    <t>NaCl</t>
  </si>
  <si>
    <t>05820 - LobaChemie</t>
  </si>
  <si>
    <t xml:space="preserve">gram </t>
  </si>
  <si>
    <r>
      <rPr>
        <rFont val="Tahoma"/>
        <color rgb="FF1155CC"/>
        <sz val="11.0"/>
        <u/>
      </rPr>
      <t>https://drive.google.com/open?id=1oMrixRkOLKXRsAT_pf2GIgPQSfcr59wj</t>
    </r>
    <r>
      <rPr>
        <rFont val="Tahoma"/>
        <sz val="11.0"/>
      </rPr>
      <t>'</t>
    </r>
  </si>
  <si>
    <t>https://drive.google.com/file/d/1wW6iGiDGwZfTzFY28iY0PbyH_Xlmjwu9/view?usp=drive_link</t>
  </si>
  <si>
    <t>A46</t>
  </si>
  <si>
    <t>Potassium Persulphate 98%</t>
  </si>
  <si>
    <t>K2S2O8</t>
  </si>
  <si>
    <t>05420 - LobaChemie</t>
  </si>
  <si>
    <t>https://drive.google.com/open?id=1Jvzo_LgjfxEN7bBF62C1WWjIoCi1T8Fm</t>
  </si>
  <si>
    <t>https://drive.google.com/file/d/1Omh_1z54-kXa6Z3qix-SaGxl6xVg1ta3/view?usp=drive_link</t>
  </si>
  <si>
    <t>A47</t>
  </si>
  <si>
    <t>Ethylenediamine Tetraacetic Acid Disodium Salt 99%</t>
  </si>
  <si>
    <t>C10H14N2Na2O8.2H2O</t>
  </si>
  <si>
    <t>03731 - LobaChemie</t>
  </si>
  <si>
    <t xml:space="preserve">NO3,SO2 UA
</t>
  </si>
  <si>
    <t>https://drive.google.com/file/d/1WS_hrJnSEyu1bqtV01W6sfm4iHytvQdp/view?usp=drive_link</t>
  </si>
  <si>
    <t>https://drive.google.com/file/d/1ARFpJjiByEAdOIGCncae1AqMZDNOD1Ct/view?usp=drive_link</t>
  </si>
  <si>
    <t>A48</t>
  </si>
  <si>
    <t>Sodium Sulphate Anhydrous 99%</t>
  </si>
  <si>
    <t>Na2SO4</t>
  </si>
  <si>
    <t>06015 -  LobaChemie</t>
  </si>
  <si>
    <t>https://drive.google.com/open?id=1fws3iyndpscN2ZfBINSnYG51pg0XNIPb</t>
  </si>
  <si>
    <t>https://drive.google.com/file/d/1Ka90SQoUKzlNEr4Y3XtVeVFBwQjDZUl6/view?usp=drive_link</t>
  </si>
  <si>
    <t>A49</t>
  </si>
  <si>
    <t xml:space="preserve">Potassium Dichromate 99.9% </t>
  </si>
  <si>
    <t>K2Cr2O7</t>
  </si>
  <si>
    <t>05355 - LobaChemie</t>
  </si>
  <si>
    <t>COD,Cr6+</t>
  </si>
  <si>
    <t>https://drive.google.com/open?id=1DpbllNTWPqhhmP73glwtGctfpYkJdNXB</t>
  </si>
  <si>
    <t>https://drive.google.com/file/d/1jNXhkj8PSVkNiFbsDfoWAwbJcYo2icXk/view?usp=drive_link</t>
  </si>
  <si>
    <t>A50</t>
  </si>
  <si>
    <t>Sodium Thiosulphate Pentahydrate 99.5%</t>
  </si>
  <si>
    <t>Na2S2O3.5H2O</t>
  </si>
  <si>
    <t>06050 - LobaChemie</t>
  </si>
  <si>
    <t>https://drive.google.com/open?id=1lo0d8du8cLPMtwy-gg2iSjufEw9HYMYS</t>
  </si>
  <si>
    <t>https://drive.google.com/file/d/1ueozXIrdTqFXULQICnAjUqvtofS__5m1/view?usp=drive_link</t>
  </si>
  <si>
    <t>A51</t>
  </si>
  <si>
    <t>Potassium Phosphate Dibasic Anhydrous 99%</t>
  </si>
  <si>
    <t>K2HPO4</t>
  </si>
  <si>
    <t>05430 - LobaChemie</t>
  </si>
  <si>
    <t>https://drive.google.com/open?id=16Q94uPK6g8CrrjjM2f6fsjcx0sTNn8M2</t>
  </si>
  <si>
    <t>https://drive.google.com/file/d/18vPo59uXlvO4eJJYcVDIseMWOwRY5Xjj/view?usp=drive_link</t>
  </si>
  <si>
    <t>A52</t>
  </si>
  <si>
    <t>Potassium Dihydrogen Orthophosphat Anhydrous 99.5 %</t>
  </si>
  <si>
    <t>KH2PO4</t>
  </si>
  <si>
    <t>05357 - LobaChemie</t>
  </si>
  <si>
    <t>https://drive.google.com/open?id=1V7pTLcVFeXpJvcOGK8tO0TGnbVM1eHY_</t>
  </si>
  <si>
    <t>https://drive.google.com/file/d/1csC5sO52XuMByhWWzuefQ1pQv4VO6YMz/view?usp=drive_link</t>
  </si>
  <si>
    <t>A53</t>
  </si>
  <si>
    <t>Sodium Metabisulphite 97 %</t>
  </si>
  <si>
    <t>Na2S2O5</t>
  </si>
  <si>
    <t>05937 - LobaChemie</t>
  </si>
  <si>
    <t>SO2</t>
  </si>
  <si>
    <t>https://drive.google.com/open?id=15Mj9UuAB2KIH6fBdJq1A5XlkbZGYFPTN</t>
  </si>
  <si>
    <t>https://drive.google.com/file/d/1tgodK7eNifySzlIny3VHWN67Yg13DjVk/view?usp=drive_link</t>
  </si>
  <si>
    <t>A54</t>
  </si>
  <si>
    <t>Glass Wool</t>
  </si>
  <si>
    <t>03947 - LobaChemie</t>
  </si>
  <si>
    <t>MBAS,Minyak Lemak,NO3</t>
  </si>
  <si>
    <t>https://drive.google.com/open?id=1TApRGw58W5_bi4xi-YvO1trZ_DdNlzzw</t>
  </si>
  <si>
    <t>https://drive.google.com/file/d/1-qb1vF-7qnAzyNhAKg3R9E7cWurwKTj7/view?usp=drive_link</t>
  </si>
  <si>
    <t>A55</t>
  </si>
  <si>
    <t xml:space="preserve">Sodium Carbonate </t>
  </si>
  <si>
    <t>NaCO3</t>
  </si>
  <si>
    <t>A-2048 - Smartlab</t>
  </si>
  <si>
    <t>Air laut buatan</t>
  </si>
  <si>
    <t>https://drive.google.com/open?id=1XrW3oyCIuix8hKOjyTXNh751fnVwOUlH</t>
  </si>
  <si>
    <t>https://drive.google.com/file/d/12PoepJhW2WItcmUFYv_2zClMKIs25HJA/view?usp=drive_link</t>
  </si>
  <si>
    <t>A56</t>
  </si>
  <si>
    <t>Di-Ammonium Hydrogen Phospate</t>
  </si>
  <si>
    <t>(NH4)2HPO4</t>
  </si>
  <si>
    <t>A-2277 -  Smartlab</t>
  </si>
  <si>
    <t>Sulfida</t>
  </si>
  <si>
    <t>https://drive.google.com/open?id=1uz5ND3yqPDuolvfW205nnu-Fj6Tlpa_R</t>
  </si>
  <si>
    <t>https://drive.google.com/file/d/1U00hNmFUea8DCkYu_1l1nSLmQf4_gJcL/view?usp=drive_link</t>
  </si>
  <si>
    <t>A57</t>
  </si>
  <si>
    <t>Ammonium Ferrous Sulphate</t>
  </si>
  <si>
    <t>(NH4)2Fe(SO4)2.6H2O</t>
  </si>
  <si>
    <t>A-2005 - Smartlab</t>
  </si>
  <si>
    <t>https://drive.google.com/open?id=1kHMO130X9zhSvT1qlXxapjMEpMAkx_Jm</t>
  </si>
  <si>
    <t>https://drive.google.com/file/d/1lM2LFSPPGxVb2EmXFjQs1-lStmpjTLpT/view?usp=drive_link</t>
  </si>
  <si>
    <t>A58</t>
  </si>
  <si>
    <t>Sodium Oxalate (di-sodium Oxalate)</t>
  </si>
  <si>
    <t>(COONa)2</t>
  </si>
  <si>
    <t>A-2097 - Smartlab</t>
  </si>
  <si>
    <t>https://drive.google.com/open?id=1STIJBPX0XqtzuiTRqWevhse5d1CG-fAA</t>
  </si>
  <si>
    <t>https://drive.google.com/file/d/136_ztT5df6bBRhYLRSC8NfXI7-qyht52/view?usp=drive_link</t>
  </si>
  <si>
    <t>A59</t>
  </si>
  <si>
    <t>Sodium Thiosulpahte Anhydrous</t>
  </si>
  <si>
    <t>Na2S2O3</t>
  </si>
  <si>
    <t>A-3268 - Smartlab</t>
  </si>
  <si>
    <t>https://drive.google.com/open?id=1x4v2Jy9ElQOkLAHrkGaN32DhYhj-9qVt</t>
  </si>
  <si>
    <t>https://drive.google.com/file/d/1SUAKdbPy2Eo50GxnHB9U4xRZ-0Gu1Vb0/view?usp=drive_link</t>
  </si>
  <si>
    <t>A60</t>
  </si>
  <si>
    <t>Sodium Dihydrogen Orthopospate Monohydrate</t>
  </si>
  <si>
    <t>NaH2PO4.H2O</t>
  </si>
  <si>
    <t>A-2370 - Smartlab</t>
  </si>
  <si>
    <t>MBAS, BOD</t>
  </si>
  <si>
    <t>https://drive.google.com/file/d/1iEO52dK5L9b28QVc7GM9dlgSakllAB1q/view?usp=drive_link</t>
  </si>
  <si>
    <t>A61</t>
  </si>
  <si>
    <t>Chloramine T Trihydrate 99%</t>
  </si>
  <si>
    <t>C7H7CINNaO2S.3H2O</t>
  </si>
  <si>
    <t>02700 - LobaChemie</t>
  </si>
  <si>
    <t>CN</t>
  </si>
  <si>
    <t>https://drive.google.com/open?id=1jedYZSbXacC7sFrUJ-PreTzrKuw3i7Yr</t>
  </si>
  <si>
    <t>https://drive.google.com/file/d/147ieFGvTQVM2WdYMs_Jb1b2nFVDUu3h2/view?usp=drive_link</t>
  </si>
  <si>
    <t>A62</t>
  </si>
  <si>
    <t xml:space="preserve">Sodium Bisulphite </t>
  </si>
  <si>
    <t>NaHSO3</t>
  </si>
  <si>
    <t>05799 - LobaChemie</t>
  </si>
  <si>
    <t>Formaldehyde</t>
  </si>
  <si>
    <t>https://drive.google.com/open?id=16Gfl9rk91T2x0yAIIx5VjblqMUKdI75L</t>
  </si>
  <si>
    <t>https://drive.google.com/file/d/1vvZ8WEOALl42pkV2z86TsVSxEZOVZ8NR/view?usp=drive_link</t>
  </si>
  <si>
    <t>A63</t>
  </si>
  <si>
    <t>Zinc Acetate Dihydrate 99.5%</t>
  </si>
  <si>
    <t>(CH3.COO)2Zn.2H2O</t>
  </si>
  <si>
    <t>06541 - LobaChemie</t>
  </si>
  <si>
    <t>https://drive.google.com/open?id=1kIBZ9C_bEJnY493X6c02azgV6a9o_kxK</t>
  </si>
  <si>
    <t>https://drive.google.com/file/d/1FT_6MUTK4-C-girDvLpL-En_fJJPYEeV/view?usp=drive_link</t>
  </si>
  <si>
    <t>A64</t>
  </si>
  <si>
    <t>N,N-Dimethyl-1,4-phenylenediamine oxalate</t>
  </si>
  <si>
    <t>[(CH3)2NC6H4NH2]2·H2C2O4</t>
  </si>
  <si>
    <t>4.09758.025 SigmaAldrich</t>
  </si>
  <si>
    <t>https://drive.google.com/file/d/1WC0M2sS0BfsJSKxLjgphZyZKs3WrhhNQ/view?usp=drive_link</t>
  </si>
  <si>
    <t>A65</t>
  </si>
  <si>
    <t xml:space="preserve">Iodine </t>
  </si>
  <si>
    <t>I2</t>
  </si>
  <si>
    <t>2.07772.0100 - SigmaAldrich</t>
  </si>
  <si>
    <t>H2S, SO2 UA</t>
  </si>
  <si>
    <t>https://drive.google.com/open?id=1lT5KjrdgN-QIY9Lf_SHbYBtUiZACgjLH</t>
  </si>
  <si>
    <t>https://drive.google.com/file/d/13mrIByEsfxG7MvCilxt0c0n_nn7yGBZQ/view?usp=drive_link</t>
  </si>
  <si>
    <t>A66</t>
  </si>
  <si>
    <t>Ammonium Phospahte dibasic</t>
  </si>
  <si>
    <t>H9N2O4P</t>
  </si>
  <si>
    <t>1003721150 - SigmaAldrich</t>
  </si>
  <si>
    <t>H2S</t>
  </si>
  <si>
    <t>https://drive.google.com/open?id=1gYxXquexNBeal36jMq3WSkSNObhqknKy</t>
  </si>
  <si>
    <t>https://drive.google.com/file/d/1Lj0Rre1Z_gIPZ5es8yUbzU8ClKyQYYB5/view?usp=drive_link</t>
  </si>
  <si>
    <t>A67</t>
  </si>
  <si>
    <t>Iron (III) chloride</t>
  </si>
  <si>
    <t>FeCl3</t>
  </si>
  <si>
    <t xml:space="preserve">1.57740.100 - SigmaAldrich </t>
  </si>
  <si>
    <t>https://drive.google.com/open?id=1b2gkillwFQNYVr1a5nLziZs6JhagNiHn</t>
  </si>
  <si>
    <t>https://drive.google.com/file/d/1DrrgGsVC1m3NJOw9IlM3D-nSQ9aZ2vAs/view?usp=drive_link</t>
  </si>
  <si>
    <t>A68</t>
  </si>
  <si>
    <t>N-Allylthiourea</t>
  </si>
  <si>
    <t>C4H8N2S</t>
  </si>
  <si>
    <t xml:space="preserve">1.08804.050 - SigmaAldrich </t>
  </si>
  <si>
    <t>https://drive.google.com/open?id=1FzXOXeUIFPOwxc-SUYGI4wmaWQgCRZU1</t>
  </si>
  <si>
    <t>https://drive.google.com/file/d/1ct7jHLQtff_0nnlH8FbF4S17S7tuBtzD/view?usp=drive_link</t>
  </si>
  <si>
    <t>A69</t>
  </si>
  <si>
    <t>Sodium Borohydride</t>
  </si>
  <si>
    <t>H4BNa</t>
  </si>
  <si>
    <t>4.52882.0500 - SigmaAldrich</t>
  </si>
  <si>
    <t>https://drive.google.com/open?id=1ArXDvOWFiTahfTWJf1YElCmPpm7zuGV0</t>
  </si>
  <si>
    <t>https://drive.google.com/file/d/1Zyl3er20C8rtp0Ftk4jtD2aoARs1zyFV/view?usp=drive_link</t>
  </si>
  <si>
    <t>A70</t>
  </si>
  <si>
    <t>Tryptic soy agar Casein-peptone soymealpeptone agar</t>
  </si>
  <si>
    <t>1.05458.0500 - Millipore</t>
  </si>
  <si>
    <t>Uji Kinerja Mikrobiologi</t>
  </si>
  <si>
    <t>https://drive.google.com/file/d/1ST40V_gYLA9qpoT6jdDOBzT3bmwXdSug/view?usp=drive_link</t>
  </si>
  <si>
    <t>https://drive.google.com/file/d/16dTHQ91GttoM6Oo_0Qee4c-hoA6v1lPU/view?usp=drive_link</t>
  </si>
  <si>
    <t>A71</t>
  </si>
  <si>
    <t>Peptone water (buffered)</t>
  </si>
  <si>
    <t>1.07228.0500 - Millipore</t>
  </si>
  <si>
    <t xml:space="preserve">Media Pengenceran dan Enrichment </t>
  </si>
  <si>
    <t>https://drive.google.com/file/d/149yHr7w-ftZef3MSwo7XwwEAuwGJh1E2/view?usp=drive_link</t>
  </si>
  <si>
    <t>https://drive.google.com/file/d/1H4fv_OCpnLc5mAMb4sSdFardJFjQEWrb/view?usp=drive_link</t>
  </si>
  <si>
    <t>A72</t>
  </si>
  <si>
    <t>Potassium Cyanide 97%</t>
  </si>
  <si>
    <t>KCN</t>
  </si>
  <si>
    <t>05352 - LobaChemie</t>
  </si>
  <si>
    <t>https://drive.google.com/file/d/1vFbuBquuye-oZ25tmrMd0Odzqp-I5SPS/view?usp=sharing</t>
  </si>
  <si>
    <t>https://drive.google.com/file/d/1kenqPoQZ6nRy_nWZc_ZmC_jxs_nZWQTN/view?usp=drive_link</t>
  </si>
  <si>
    <t>A73</t>
  </si>
  <si>
    <t>Sodium Phosphate dibasic Heptahydrate</t>
  </si>
  <si>
    <t>Na2HPO4 · 7H2O</t>
  </si>
  <si>
    <t>S9390.0100 - SigmaAldrich</t>
  </si>
  <si>
    <t>Sodium phosphate dibasic heptahydrate</t>
  </si>
  <si>
    <t>https://drive.google.com/file/d/1zbRPXoqX8E4oL5yDBDrikKHJk40CFOID/view?usp=drive_link</t>
  </si>
  <si>
    <t>A74</t>
  </si>
  <si>
    <t>tri-Sodium Orthophosphate Dodecahydrate 98%</t>
  </si>
  <si>
    <t>Na3PO4.12H2O</t>
  </si>
  <si>
    <t>05960 - LobaChemie</t>
  </si>
  <si>
    <t>NH3 Udara</t>
  </si>
  <si>
    <t>https://drive.google.com/file/d/1s3IAUShiDTLQQO-QnqV44GTb78tbUxLA/view?usp=sharing</t>
  </si>
  <si>
    <t>https://drive.google.com/file/d/1gdD3cVt71cBPF2ZYDtppVUKMM56qzfHN/view?usp=drive_link</t>
  </si>
  <si>
    <t>A75</t>
  </si>
  <si>
    <t>Diphenyl Carbazide 98%</t>
  </si>
  <si>
    <t>03521 - LobaChemie</t>
  </si>
  <si>
    <t>Cr6+</t>
  </si>
  <si>
    <t>https://drive.google.com/file/d/11NSlJQrkdRokZaFmrSdWT8M3smCohGTF/view?usp=drive_link</t>
  </si>
  <si>
    <t>https://drive.google.com/file/d/1upv88ZyE90oiI66Vst6NMS_MgD8YZxE_/view?usp=drive_link</t>
  </si>
  <si>
    <t>A76</t>
  </si>
  <si>
    <t xml:space="preserve">Boric Acid </t>
  </si>
  <si>
    <t>H3BO3</t>
  </si>
  <si>
    <t>A-2013 - Smartlab</t>
  </si>
  <si>
    <t>https://drive.google.com/file/d/1pnjhT-bzmmYAaG1mXNTConiQnhIWyuUc/view?usp=drive_link</t>
  </si>
  <si>
    <t>https://drive.google.com/file/d/1nz_RULIyAveWiG3sOqV9q2W5PAgVSm4N/view?usp=drive_link</t>
  </si>
  <si>
    <t>A77</t>
  </si>
  <si>
    <t>Trans-1,2-Diamino-Cyclohexane-N,N,N,N-Tetraacetic Acid Monohydrate 99%</t>
  </si>
  <si>
    <t>C14H22N2O8.H2O</t>
  </si>
  <si>
    <t>03215 - LobaChemie</t>
  </si>
  <si>
    <t>https://drive.google.com/file/d/1nLqaPW1K5ZJvYemC4c5g94AjNLvNs6kr/view?usp=drive_link</t>
  </si>
  <si>
    <t>https://drive.google.com/file/d/1FsErgxjhBzNZ-MXFHWorsYXrbHOaeRnn/view?usp=drive_link</t>
  </si>
  <si>
    <t>A78</t>
  </si>
  <si>
    <t>Sodium Acetate Trihydrate 99.5%</t>
  </si>
  <si>
    <t>CH3COONa.3H2O</t>
  </si>
  <si>
    <t>05758 - LobaChemie</t>
  </si>
  <si>
    <t>https://drive.google.com/file/d/1bC7b-aHnRhPXdV-ymRQmet8zwgEZmoah/view?usp=sharing</t>
  </si>
  <si>
    <t>https://drive.google.com/file/d/1nf8Y6fYIUpZuhPT8fVrszcd79Gnyeb6f/view?usp=drive_link</t>
  </si>
  <si>
    <t>A79</t>
  </si>
  <si>
    <r>
      <rPr>
        <rFont val="Tahoma"/>
        <color theme="1"/>
        <sz val="11.0"/>
      </rPr>
      <t xml:space="preserve">KWIK-STIK </t>
    </r>
    <r>
      <rPr>
        <rFont val="Tahoma"/>
        <i/>
        <color theme="1"/>
        <sz val="11.0"/>
      </rPr>
      <t>Escherichia coli</t>
    </r>
    <r>
      <rPr>
        <rFont val="Tahoma"/>
        <color theme="1"/>
        <sz val="11.0"/>
      </rPr>
      <t xml:space="preserve"> ATCC 25922</t>
    </r>
  </si>
  <si>
    <t>0335P - Microbiologics</t>
  </si>
  <si>
    <t xml:space="preserve">pcs </t>
  </si>
  <si>
    <t xml:space="preserve">QC Pengujian Mikrobiologi </t>
  </si>
  <si>
    <t>https://drive.google.com/file/d/1Zhso15JolLx2-WVeik_aphLbqiMi0jsv/view?usp=sharing</t>
  </si>
  <si>
    <t>https://drive.google.com/file/d/1Gqv85R5AcUCouIKvftrV8WJSldx6m2iP/view?usp=drive_link</t>
  </si>
  <si>
    <t>A80</t>
  </si>
  <si>
    <t>Compact Dry EC</t>
  </si>
  <si>
    <t>54052 - Shimadzu</t>
  </si>
  <si>
    <t xml:space="preserve">Analisa Sampel Air Bersih/ Air Minum Parameter E.coli &amp; Total Coliform </t>
  </si>
  <si>
    <t>https://drive.google.com/file/d/1KSq_bq0QCpUXwbh6WRYw8FdCmQ3m7bvH/view?usp=sharing</t>
  </si>
  <si>
    <t>https://drive.google.com/file/d/1wiDiWgGRJSznPD2FN892SKGa3m96zQ9u/view?usp=drive_link</t>
  </si>
  <si>
    <t>A81</t>
  </si>
  <si>
    <t>Tryptone Water</t>
  </si>
  <si>
    <t xml:space="preserve">M463l - Himedia </t>
  </si>
  <si>
    <t xml:space="preserve">Uji Indol </t>
  </si>
  <si>
    <t>https://drive.google.com/file/d/1pOvYrWYaiTuXYR-RhkLwv4GrUz9UuBHa/view?usp=sharing</t>
  </si>
  <si>
    <t>https://drive.google.com/file/d/18rdNSfv62IeY5w7mu335tSJQacYHPBcX/view?usp=drive_link</t>
  </si>
  <si>
    <t>A82</t>
  </si>
  <si>
    <t xml:space="preserve">Silver Nitrat </t>
  </si>
  <si>
    <t>AgNO3</t>
  </si>
  <si>
    <t>SA087 - Chem-supply</t>
  </si>
  <si>
    <t>Cl-</t>
  </si>
  <si>
    <t>https://drive.google.com/file/d/15aZxMqyZwGAaHTDXcNu06_Ni_a4q2Kyu/view?usp=drive_link</t>
  </si>
  <si>
    <t>https://drive.google.com/file/d/1iqproOM4ekT-49OqAFZiSyfGhul3Lofv/view?usp=drive_link</t>
  </si>
  <si>
    <t>A83</t>
  </si>
  <si>
    <t>Thiourea 99%</t>
  </si>
  <si>
    <t>NH2.CS.NH2</t>
  </si>
  <si>
    <t>06292 - LobaChemie</t>
  </si>
  <si>
    <t>AFS</t>
  </si>
  <si>
    <t>https://drive.google.com/file/d/18zRj25cLWIwiujLIaFuiclXQgI55bBpS/view?usp=drive_link</t>
  </si>
  <si>
    <t>https://drive.google.com/file/d/1quwnz5tAVJDt_KIY8TnWC80j0oDVpuR2/view?usp=sharing</t>
  </si>
  <si>
    <t>A84</t>
  </si>
  <si>
    <t xml:space="preserve">Test Kit Free Chlorine </t>
  </si>
  <si>
    <t>Cl2</t>
  </si>
  <si>
    <t>HI93701-01</t>
  </si>
  <si>
    <t>Pcs</t>
  </si>
  <si>
    <t xml:space="preserve">klorin </t>
  </si>
  <si>
    <t>https://drive.google.com/file/d/1sEHNaXpzKOWAJoU0MmwDvq8Gja1ULoEa/view?usp=drive_link</t>
  </si>
  <si>
    <t>https://drive.google.com/file/d/1HqI7I-Vx7ZxiePtKPda1znvZDfxEIqGg/view?usp=drive_link</t>
  </si>
  <si>
    <t>A85</t>
  </si>
  <si>
    <t>Colilert*-18</t>
  </si>
  <si>
    <t>WP200I-18 - IDEXX</t>
  </si>
  <si>
    <t xml:space="preserve">Analisa Sampel Air Limbah/ Air Permukaan Parameter E.coli, Total Coliform, &amp; Fecal Coliform </t>
  </si>
  <si>
    <t>https://drive.google.com/file/d/1_61OeBm1JtQ5WopVZUcM21fk4fiN3JO6/view?usp=sharing</t>
  </si>
  <si>
    <t>https://drive.google.com/file/d/1YCeiGFqfEhZEcghD5SObl5iRDk0dxMw7/view?usp=drive_link</t>
  </si>
  <si>
    <t>A86</t>
  </si>
  <si>
    <t>Quanti-Tray*/2000</t>
  </si>
  <si>
    <t>WQT2K - IDEXX</t>
  </si>
  <si>
    <t>https://drive.google.com/file/d/13gnx2t3trnDCQPTv9idFeNR27gXHq5dn/view?usp=drive_link</t>
  </si>
  <si>
    <t>A87</t>
  </si>
  <si>
    <t xml:space="preserve">Dextrose Anhydrous </t>
  </si>
  <si>
    <t>C6H12O6</t>
  </si>
  <si>
    <t>03170 -  LobaChemie</t>
  </si>
  <si>
    <t>https://drive.google.com/file/d/1KZ25kechOWZDW3YgkEK3feZKvrq0I-eM/view?usp=drive_link</t>
  </si>
  <si>
    <t>https://drive.google.com/file/d/1WimmRRHQx-jXFzGwFXZlpIniwmk00NY8/view?usp=drive_link</t>
  </si>
  <si>
    <t>A88</t>
  </si>
  <si>
    <t xml:space="preserve">L-Ascorbic Acid </t>
  </si>
  <si>
    <t>C6H8O6</t>
  </si>
  <si>
    <t>01549 - LobaChemie</t>
  </si>
  <si>
    <t>https://drive.google.com/file/d/1WZ47lIslge9AaQOUnhIHg8xdRf7UWLvG/view?usp=sharing</t>
  </si>
  <si>
    <t>https://drive.google.com/file/d/1Tic3luxJTw-s2kFR3Kz-8Jl9SJkNeuUR/view?usp=drive_link</t>
  </si>
  <si>
    <t>A89</t>
  </si>
  <si>
    <t>Pottasium Permanganat</t>
  </si>
  <si>
    <t>KMnO₄</t>
  </si>
  <si>
    <t>1.05082.0250 - Supelco
A-2087 - Smartlab</t>
  </si>
  <si>
    <t>https://drive.google.com/file/d/1rVQ6_2Gccq1R7vFFrT3_b_Vn5bTt5PYM/view?usp=sharing</t>
  </si>
  <si>
    <t>https://drive.google.com/file/d/1yNx7yEkU0r9vZRQmLevxfaasiam5baOA/view?usp=drive_link</t>
  </si>
  <si>
    <t>A90</t>
  </si>
  <si>
    <t>tri-Sodium Citrate</t>
  </si>
  <si>
    <t>C6H5Na3O7</t>
  </si>
  <si>
    <t>1.11037.1000 - Merck</t>
  </si>
  <si>
    <t>https://drive.google.com/file/d/1syX6NFRj2IO2760PFYdwQH_GyW_wmsH-/view?usp=drive_link</t>
  </si>
  <si>
    <t>https://drive.google.com/file/d/1plluOqcJiLB9fq1dY-Q-5aUXv3qFJIMg/view?usp=drive_link</t>
  </si>
  <si>
    <t>A91</t>
  </si>
  <si>
    <t>Calcium Chloride</t>
  </si>
  <si>
    <t>CaCl2</t>
  </si>
  <si>
    <t>1.00379.3004 - SigmaAldrich</t>
  </si>
  <si>
    <t>https://drive.google.com/file/d/1b3XrUhPW6KchWjmfn_0QBUSbxFzZcckv/view?usp=sharing</t>
  </si>
  <si>
    <t>https://drive.google.com/file/d/1B8WuWl51B1mDt_Lf22AygYjDqrYAn8il/view?usp=drive_link</t>
  </si>
  <si>
    <t>A92</t>
  </si>
  <si>
    <t>Barbituric Acid 99%</t>
  </si>
  <si>
    <t>C4H4N2O3</t>
  </si>
  <si>
    <t>01640 - LobaChemie</t>
  </si>
  <si>
    <t>https://drive.google.com/file/d/1eRXHTqNgxzVVQeg1s3KGPWBvG71kAWTx/view?usp=drive_link</t>
  </si>
  <si>
    <t>https://drive.google.com/file/d/1y8UASMG5vVz1094m8W50eidKwgbPy9PQ/view?usp=drive_link</t>
  </si>
  <si>
    <t>A93</t>
  </si>
  <si>
    <t>Iron (III) Chloride Hexahydrate</t>
  </si>
  <si>
    <t>FeCl3. 6H2O</t>
  </si>
  <si>
    <t>A-2714 - Smart Lab</t>
  </si>
  <si>
    <t>https://drive.google.com/file/d/115kAulGS9p0La7zgxlWKfEmcg3U7dl5J/view?usp=drive_link</t>
  </si>
  <si>
    <t>https://drive.google.com/file/d/11gKKYaM4E6rG6tjZXygPGEtWs2CprQK5/view?usp=drive_link</t>
  </si>
  <si>
    <t>A94</t>
  </si>
  <si>
    <t>Hexadecane</t>
  </si>
  <si>
    <t>CRM78293 - SigmaAldrich</t>
  </si>
  <si>
    <t>https://drive.google.com/file/d/1HYo2dBEhE4O_kjILkPV_xETqSDJAFlzF/view?usp=drive_link</t>
  </si>
  <si>
    <t>https://drive.google.com/file/d/1TsijNvI8fBNiDkKtF4YWLEGu1yRSiNlq/view?usp=drive_link</t>
  </si>
  <si>
    <t>A95</t>
  </si>
  <si>
    <t xml:space="preserve">Chromotropic Acid Disodium Salt Dihydrate </t>
  </si>
  <si>
    <t>C10H6Na2O8S2.2H2O</t>
  </si>
  <si>
    <t>02835 - LobaChemie</t>
  </si>
  <si>
    <t>Formaldehida</t>
  </si>
  <si>
    <t>https://drive.google.com/file/d/1oGuEyPJPVOSzIam3lQWKMxeVMwYcf7oR/view?usp=drive_link</t>
  </si>
  <si>
    <t>https://drive.google.com/file/d/1YBLJqlF1c-3XnfXkzn9-m-etxWLvL_ku/view?usp=drive_link</t>
  </si>
  <si>
    <t>A96</t>
  </si>
  <si>
    <t xml:space="preserve">Zinc Sulfate Heptahydrate </t>
  </si>
  <si>
    <t>ZnSO4.7H2O</t>
  </si>
  <si>
    <t>1.08883.0500 - Supelco</t>
  </si>
  <si>
    <t>H2S UA</t>
  </si>
  <si>
    <t>https://drive.google.com/file/d/1qVZ5LBbLmlsYXj8vFrY2_JNHyZStaz8h/view?usp=drive_link</t>
  </si>
  <si>
    <t>https://drive.google.com/file/d/1tboBibq-tfwfwN_iLJsPybsErCr7Jg5y/view?usp=drive_link</t>
  </si>
  <si>
    <t>A97</t>
  </si>
  <si>
    <r>
      <rPr>
        <rFont val="Tahoma"/>
        <i/>
        <color theme="1"/>
        <sz val="11.0"/>
      </rPr>
      <t xml:space="preserve">Escherichia Coli </t>
    </r>
    <r>
      <rPr>
        <rFont val="Tahoma"/>
        <i val="0"/>
        <color theme="1"/>
        <sz val="11.0"/>
      </rPr>
      <t xml:space="preserve">WDCM 000136 Vitroids </t>
    </r>
  </si>
  <si>
    <t>VT000136-10EA - SigmaAldrich</t>
  </si>
  <si>
    <t>Verifikasi/ Validasi Pengujian Mikrobiologi dan QC</t>
  </si>
  <si>
    <t>https://drive.google.com/file/d/1gbs9XoUnQd26QZN6TwM0dItKS5f6EO4N/view?usp=sharing</t>
  </si>
  <si>
    <t>https://drive.google.com/file/d/1UIKqaVVlXHnjyqQRVOw_qbvkTWCaTFLV/view?usp=drive_link</t>
  </si>
  <si>
    <t>A98</t>
  </si>
  <si>
    <t>Lead (II) Carbonate</t>
  </si>
  <si>
    <t>PbCO3</t>
  </si>
  <si>
    <t>1073810250 - SigmaAldrich</t>
  </si>
  <si>
    <t>https://drive.google.com/file/d/1178QW9wgxeEJr58H835ux-SsZsJnxZeL/view?usp=drive_link</t>
  </si>
  <si>
    <t>https://drive.google.com/file/d/1bXt_vclDVL0IAt2Y05F8PonRxocJIqZ2/view?usp=drive_link</t>
  </si>
  <si>
    <t>A99</t>
  </si>
  <si>
    <t>Polyseed</t>
  </si>
  <si>
    <t>Capsules</t>
  </si>
  <si>
    <t>https://drive.google.com/file/d/1fEa3J9fXDbxqQaFH7kvj216NVeKV72D0/view?usp=drive_link</t>
  </si>
  <si>
    <t>A100</t>
  </si>
  <si>
    <t>Methyl Orange Indicator ACS</t>
  </si>
  <si>
    <t>C14H14N3NaO3S</t>
  </si>
  <si>
    <t>04670 - LobaChemie</t>
  </si>
  <si>
    <t>https://drive.google.com/file/d/13MPYmp7t443ZG6BdfOltx3hwOTK177b2/view?usp=drive_link</t>
  </si>
  <si>
    <t>A101</t>
  </si>
  <si>
    <t>Hydroxylammonium Sulfate</t>
  </si>
  <si>
    <t>(HONH3)2SO4</t>
  </si>
  <si>
    <t>1046170500 - SigmaAldrich</t>
  </si>
  <si>
    <t>https://drive.google.com/file/d/1Gfvuwwafei1BHKcwkQuNly4LH5ESOObl/view?usp=drive_link</t>
  </si>
  <si>
    <t>A102</t>
  </si>
  <si>
    <r>
      <rPr>
        <rFont val="Tahoma"/>
        <i/>
        <color theme="1"/>
        <sz val="11.0"/>
      </rPr>
      <t xml:space="preserve">Pseudomonas paraeruginosa </t>
    </r>
    <r>
      <rPr>
        <rFont val="Tahoma"/>
        <i val="0"/>
        <color theme="1"/>
        <sz val="11.0"/>
      </rPr>
      <t>WDCM 00026 Vitroids</t>
    </r>
  </si>
  <si>
    <t>VT000266-10EA - SigmaAldrich</t>
  </si>
  <si>
    <t>https://drive.google.com/file/d/1z0nkSqGmr6MQPcE4q00aNF_fbalBqIDf/view?usp=sharing</t>
  </si>
  <si>
    <t>https://drive.google.com/file/d/1dykNe6Y2w5sKmthL7-cKQ8Nzg6PZYSL9/view?usp=drive_link</t>
  </si>
  <si>
    <t>A103</t>
  </si>
  <si>
    <t>Sodium sulfide nonahydrate</t>
  </si>
  <si>
    <t>Na2S.9H2O</t>
  </si>
  <si>
    <t>240605A7 - Xihua</t>
  </si>
  <si>
    <t>https://drive.google.com/file/d/1xFU2jxMhVRxXWIrU1SHQ4eWHwKBitzr-/view?usp=drive_link</t>
  </si>
  <si>
    <t>A104</t>
  </si>
  <si>
    <t>N,N-Dimethyl p-Phenylediamine Dihydrochloride 99.5%</t>
  </si>
  <si>
    <t>C8H14Cl2N2</t>
  </si>
  <si>
    <t>03410 - LobaChemie</t>
  </si>
  <si>
    <t>https://drive.google.com/file/d/10SQcRfsfY5X5HIgt6Y9xek-eK6b2gV8a/view?usp=drivesdk</t>
  </si>
  <si>
    <t>https://drive.google.com/file/d/1oF6bJpEcAXBUXFujqLFy_d287Goa-Gz7/view?usp=drive_link</t>
  </si>
  <si>
    <t>A105</t>
  </si>
  <si>
    <t>Pottasium Hydroxide Pellets 85%</t>
  </si>
  <si>
    <t>KOH</t>
  </si>
  <si>
    <t>05380 - LobaChemie</t>
  </si>
  <si>
    <t>B1</t>
  </si>
  <si>
    <t>Cobalt Standard Solution</t>
  </si>
  <si>
    <t>Co</t>
  </si>
  <si>
    <t>1.19785.0100 - Supelco</t>
  </si>
  <si>
    <t>mL</t>
  </si>
  <si>
    <t>ICP</t>
  </si>
  <si>
    <t>https://drive.google.com/file/d/1xi810r3W6Lj4s9R7wN0G-ZCtBSoJ2iKT/view?usp=drive_link</t>
  </si>
  <si>
    <t>https://drive.google.com/file/d/1UaE_TKH4BxMntOVG4DPIyQ6ECVMPfLtb/view?usp=drive_link</t>
  </si>
  <si>
    <t>B2</t>
  </si>
  <si>
    <t>Molybdenum Standard Solution</t>
  </si>
  <si>
    <t>Mo</t>
  </si>
  <si>
    <t>1.70227.0100 - Supelco</t>
  </si>
  <si>
    <t>https://drive.google.com/file/d/1H5tjcFcfnVRjOLtDybZ_1CklRmgV5nbZ/view?usp=drive_link</t>
  </si>
  <si>
    <t>https://drive.google.com/file/d/1wnmGwEGsA9aPWfKiNRlClkXW1dr4otbr/view?usp=drive_link</t>
  </si>
  <si>
    <t>B3</t>
  </si>
  <si>
    <t>Zinc Standard Solution</t>
  </si>
  <si>
    <t>Zn</t>
  </si>
  <si>
    <t>1.19806.0100 - Supelco</t>
  </si>
  <si>
    <t>https://drive.google.com/file/d/11EVIX9lH1zwI4lNFfS5MWCh5ootQ11GG/view?usp=drive_link</t>
  </si>
  <si>
    <t>https://drive.google.com/file/d/1JSPT1FV_ItKC93_CSfVuFsOw2kdKcVc0/view?usp=drive_link</t>
  </si>
  <si>
    <t>B4</t>
  </si>
  <si>
    <t>Silver Standard Solution</t>
  </si>
  <si>
    <t>Ag</t>
  </si>
  <si>
    <t>1.19797.0100 - Supelco</t>
  </si>
  <si>
    <t>https://drive.google.com/file/d/1c7f_HKv4qx_Y1Jk2NIPEyKjnIHzj3a9G/view?usp=drive_link</t>
  </si>
  <si>
    <t>https://drive.google.com/file/d/1tnncUqxTkluX4frb1NkPMVTtHWSOQ_2q/view?usp=drive_link</t>
  </si>
  <si>
    <t>B5</t>
  </si>
  <si>
    <t>Selenium Standard Solution</t>
  </si>
  <si>
    <t>Se</t>
  </si>
  <si>
    <t>1.19796.0100 - Supelco</t>
  </si>
  <si>
    <t>https://drive.google.com/file/d/1iJxSvUL2rdp0d17ar3wpko4C6DUbhwLE/view?usp=drive_link</t>
  </si>
  <si>
    <t>https://drive.google.com/file/d/1gKdOXFO4cyxd7mqPcX60TOIMR5adn5Wr/view?usp=drive_link</t>
  </si>
  <si>
    <t>B6</t>
  </si>
  <si>
    <t>Copper Standard Solution</t>
  </si>
  <si>
    <t>Cu</t>
  </si>
  <si>
    <t>1.19786.0100 - Supelco</t>
  </si>
  <si>
    <t>https://drive.google.com/file/d/13OTMQeHFmY2_w8at9gUoE0t5uI69T6Cv/view?usp=drive_link</t>
  </si>
  <si>
    <t>https://drive.google.com/file/d/1wJWCeFtl16Smvd5iCnEqyNQZYE9i0t9H/view?usp=drive_link</t>
  </si>
  <si>
    <t>B7</t>
  </si>
  <si>
    <t>Sodium Standard Solution</t>
  </si>
  <si>
    <t>Na</t>
  </si>
  <si>
    <t>1.70238.0100 - Supelco</t>
  </si>
  <si>
    <t>https://drive.google.com/file/d/1uIs6Irgfy9eyLRq8bEgGs2lkbZE9FB_D/view?usp=drive_link</t>
  </si>
  <si>
    <t>https://drive.google.com/file/d/1uDlID0HnwQwcH4HX7_UkHPBynxQHwF9y/view?usp=drive_link</t>
  </si>
  <si>
    <t>B8</t>
  </si>
  <si>
    <t>Tin Standard Solution</t>
  </si>
  <si>
    <t>Sn</t>
  </si>
  <si>
    <t>1.70242.0100 - Supelco</t>
  </si>
  <si>
    <t>https://drive.google.com/file/d/1ZntW8FoHUvI_hYO4wDopq4Xg_hyYVSw7/view?usp=drive_link</t>
  </si>
  <si>
    <t>https://drive.google.com/file/d/1eaAcz8lNC9zfnljcrtykbI02Jhuiudyw/view?usp=drive_link</t>
  </si>
  <si>
    <t>B9</t>
  </si>
  <si>
    <t>Calcium Standard Solution</t>
  </si>
  <si>
    <t>Ca</t>
  </si>
  <si>
    <t>1.19778.0100 - Supelco</t>
  </si>
  <si>
    <t>https://drive.google.com/file/d/1hLyNHHgp9EbAdPQXR8GDLeh937mjBTIL/view?usp=drive_link</t>
  </si>
  <si>
    <t>https://drive.google.com/file/d/1VAeOerhz39xxEfZ2QFJ_akyr8S9GFJ-y/view?usp=drive_link</t>
  </si>
  <si>
    <t>B10</t>
  </si>
  <si>
    <t>Thallium Standard Solution</t>
  </si>
  <si>
    <t>Tl</t>
  </si>
  <si>
    <t>1.19801.0100 - Supelco</t>
  </si>
  <si>
    <t>https://drive.google.com/file/d/1k17m32cQmHYnbf8tFbwfVEUWD9CQgGaq/view?usp=drive_link</t>
  </si>
  <si>
    <t>https://drive.google.com/file/d/1XI2rVhxARRA5-usFx0tKFRngIBcYbQKf/view?usp=drive_link</t>
  </si>
  <si>
    <t>B11</t>
  </si>
  <si>
    <t>Iron Standard Solution</t>
  </si>
  <si>
    <t>Fe</t>
  </si>
  <si>
    <t>1.19781.0100 - Supelco</t>
  </si>
  <si>
    <t>https://drive.google.com/file/d/1BYm0QFOyODbUmzaBJJhXWOHLsTJskZV1/view?usp=drive_link</t>
  </si>
  <si>
    <t>https://drive.google.com/file/d/1QVFEpLVD7b_oI2k1_Q4zNEfRO0ZQB_K4/view?usp=drive_link</t>
  </si>
  <si>
    <t>B12</t>
  </si>
  <si>
    <t>Mercury Standard Solution</t>
  </si>
  <si>
    <t>Hg</t>
  </si>
  <si>
    <t>1.70226.0100 - Supelco</t>
  </si>
  <si>
    <t>https://drive.google.com/file/d/1AqW6t2z_7avwSoLSW1zG6TuBDtLTi4W4/view?usp=drive_link</t>
  </si>
  <si>
    <t>https://drive.google.com/file/d/19BuBvbnkK5Y4wwTl0mRFXye6h-6iEmyj/view?usp=drive_link</t>
  </si>
  <si>
    <t>B13</t>
  </si>
  <si>
    <t>Nickel Standard Solution</t>
  </si>
  <si>
    <t>Ni</t>
  </si>
  <si>
    <t>1.19792.0100 - Supelco</t>
  </si>
  <si>
    <t>https://drive.google.com/file/d/1lHdJKNG2FW6OaPiX1ogzYAkVDDCaEzSE/view?usp=drive_link</t>
  </si>
  <si>
    <t>https://drive.google.com/file/d/1hOm309TuzZsln9mvkhmPN0xwoxX2rL9A/view?usp=drive_link</t>
  </si>
  <si>
    <t>B14</t>
  </si>
  <si>
    <t>Chromium Standard Solution</t>
  </si>
  <si>
    <t>Cr</t>
  </si>
  <si>
    <t>1.19779.0100 - Supelco</t>
  </si>
  <si>
    <t>https://drive.google.com/file/d/1lV33o-QTzNOoyVQP-4UcLFP1ejLdm8eG/view?usp=drive_link</t>
  </si>
  <si>
    <t>https://drive.google.com/file/d/10sqOBVyLgZGMVMj_svMxKUpm-AMZmiTK/view?usp=drive_link</t>
  </si>
  <si>
    <t>B15</t>
  </si>
  <si>
    <t>Manganese Standard Solution</t>
  </si>
  <si>
    <t>Mn</t>
  </si>
  <si>
    <t>1.19789.0100 - Supelco</t>
  </si>
  <si>
    <t>https://drive.google.com/file/d/12i9_drG9kruHAfm96kJDol0WqvPmG_51/view?usp=drive_link</t>
  </si>
  <si>
    <t>https://drive.google.com/file/d/1k_1VDeKBOMSqAF804JzAYmX4m8YUFCOe/view?usp=drive_link</t>
  </si>
  <si>
    <t>B16</t>
  </si>
  <si>
    <t>Barium Standard Solution</t>
  </si>
  <si>
    <t>Ba</t>
  </si>
  <si>
    <t>1.19774.0100 - Supelco</t>
  </si>
  <si>
    <t>https://drive.google.com/file/d/1AbziMexNMXlrZOuK_I6IeaMMcDeN0pZk/view?usp=drive_link</t>
  </si>
  <si>
    <t>https://drive.google.com/file/d/15dhsrDqEY1KYx6-iVlUQTb-iMihqIS5P/view?usp=drive_link</t>
  </si>
  <si>
    <t>B17</t>
  </si>
  <si>
    <t>Cadmium Standard Solution</t>
  </si>
  <si>
    <t>1.19777.0500 - Supelco</t>
  </si>
  <si>
    <t>https://drive.google.com/file/d/1csq0_v3ViGdq4blePbbJTabQgz2nz32n/view?usp=drive_link</t>
  </si>
  <si>
    <t>https://drive.google.com/file/d/1bzwwthOR9pADhnfItWiRrTnOY3NoUk6q/view?usp=drive_link</t>
  </si>
  <si>
    <t>B18</t>
  </si>
  <si>
    <t>Magnesium Standard Solution</t>
  </si>
  <si>
    <t>Mg</t>
  </si>
  <si>
    <t>1.19788.0500 - Supelco</t>
  </si>
  <si>
    <t>https://drive.google.com/file/d/1w-flFW2_BYmwYsKxNjbRLXSNLr2VPVqI/view?usp=drive_link</t>
  </si>
  <si>
    <t>https://drive.google.com/file/d/1hMZJA96xA06QXm_kYzsf33wjKHOP2xQk/view?usp=drive_link</t>
  </si>
  <si>
    <t>B19</t>
  </si>
  <si>
    <t>Antimony Standard Solution</t>
  </si>
  <si>
    <t>Sb</t>
  </si>
  <si>
    <t>1.70204.0500 - Supelco</t>
  </si>
  <si>
    <t>https://drive.google.com/file/d/14EBgFshcRa4hSNw-hr1y8BujX6XBHIz0/view?usp=drive_link</t>
  </si>
  <si>
    <t>https://drive.google.com/file/d/1ACY0jAAhcMUMeGyVfBWb7tmYlr9aJRNw/view?usp=drive_link</t>
  </si>
  <si>
    <t>B20</t>
  </si>
  <si>
    <t>Platinum Cobalt Standard Solution</t>
  </si>
  <si>
    <t>Pt-Co</t>
  </si>
  <si>
    <t>1.00246.0250 - Supelco</t>
  </si>
  <si>
    <t>https://drive.google.com/file/d/170yKWqHAT43kwwHq21BVvPDeGfcr85BP/view?usp=drive_link</t>
  </si>
  <si>
    <t>https://drive.google.com/file/d/1LN64pc1VjcuyQQxQzzMu9LKzZppPO6oH/view?usp=drive_link</t>
  </si>
  <si>
    <t>B21</t>
  </si>
  <si>
    <t>Total Suspended Solid Calibration Standard</t>
  </si>
  <si>
    <t>TSS</t>
  </si>
  <si>
    <t>TSS100 - SigmaAldrich</t>
  </si>
  <si>
    <t>https://drive.google.com/open?id=1d4Nbobk-indPKHA1LO63sk3hvNetwW2V</t>
  </si>
  <si>
    <t>https://drive.google.com/file/d/1B2-jJA_cTtA6He4hx21HkKElIDpQciMG/view?usp=drive_link</t>
  </si>
  <si>
    <t>https://drive.google.com/file/d/1FoQzBy-2LhoUYy_hz5H-oHvAuJtLOY0t/view?usp=drive_link</t>
  </si>
  <si>
    <t>B22</t>
  </si>
  <si>
    <t>Lead Standard Solution</t>
  </si>
  <si>
    <t>Pb</t>
  </si>
  <si>
    <t>1.19776.0500 - Supelco</t>
  </si>
  <si>
    <t>https://drive.google.com/file/d/1MxKzQMNVlVSHXTXvq8eT2pvcdhaMPvr2/view?usp=drive_link</t>
  </si>
  <si>
    <t>https://drive.google.com/file/d/1SaWa-s3KjTWU7osSYCK7QnxwJ4CnxuDX/view?usp=drive_link</t>
  </si>
  <si>
    <t>B23</t>
  </si>
  <si>
    <t>Nitric Acid</t>
  </si>
  <si>
    <t>HNO3</t>
  </si>
  <si>
    <t>A - 1063 - SmartLab
AR1133-G2.5L - RCl Labscan</t>
  </si>
  <si>
    <t>https://drive.google.com/open?id=1NN_BRDxITq_ChQHX_avptvHD839fop6V</t>
  </si>
  <si>
    <t>https://drive.google.com/file/d/1jYiQVFEs6FPJGnoKB0QZDGuWA-n8dPIU/view?usp=drive_link</t>
  </si>
  <si>
    <t>B24</t>
  </si>
  <si>
    <t>Sulphuric Acid</t>
  </si>
  <si>
    <t>H2SO4</t>
  </si>
  <si>
    <t>A - 1092 - Smartlab, 0290C-LobaChemie, AR1193-G500ML - RCI Labscan</t>
  </si>
  <si>
    <t xml:space="preserve">OG, KMnO4,PO4,H2S,BOD,COD,Cr6+,NO2,MBAS,NH3 UA
</t>
  </si>
  <si>
    <t>https://drive.google.com/file/d/1LswfdYWIWXBpgAQYwUPDh07mS3WfIqFx/view?usp=drive_link</t>
  </si>
  <si>
    <t>https://drive.google.com/file/d/1OqdTw9_Dawx3TSLoXYuhmdVxlY3zze1Y/view?usp=drive_link</t>
  </si>
  <si>
    <t>https://drive.google.com/file/d/14qat-UkcrJfZ_3Srt89GPnDq8rcpHXP_/view?usp=drive_link</t>
  </si>
  <si>
    <t>B25</t>
  </si>
  <si>
    <t>Hydrochloric Acid</t>
  </si>
  <si>
    <t xml:space="preserve">HCl </t>
  </si>
  <si>
    <t>A - 1050 - Smartlab
AR1107-G2.5L - RCl Labscan</t>
  </si>
  <si>
    <t>OG, Phenol, Fluoride, CN, NO3</t>
  </si>
  <si>
    <t>https://drive.google.com/file/d/104Qdo3OtTXd5dQszh9ht5IqgR-lSVqBp/view?usp=drive_link</t>
  </si>
  <si>
    <t>B26</t>
  </si>
  <si>
    <t>Aceton</t>
  </si>
  <si>
    <t>(CH3)2CO</t>
  </si>
  <si>
    <t>A - 1005 - SmartLab</t>
  </si>
  <si>
    <t xml:space="preserve">OG,NO2
</t>
  </si>
  <si>
    <t>https://drive.google.com/file/d/17g1CnN_TU4yArv1bVfwo0-fykRPWhXFB/view?usp=drive_link</t>
  </si>
  <si>
    <t>https://drive.google.com/file/d/1D8leYdwQE5oQcKO00N8aimFHUwJKe5BB/view?usp=drive_link</t>
  </si>
  <si>
    <t>B27</t>
  </si>
  <si>
    <t>n-Hexane</t>
  </si>
  <si>
    <t>C6H14</t>
  </si>
  <si>
    <t>A - 1045 - SmartLab</t>
  </si>
  <si>
    <t>https://drive.google.com/file/d/1U_E-l5jwhPaLwLLPewOfYls7EgFa1ufv/view?usp=sharing</t>
  </si>
  <si>
    <t>https://drive.google.com/file/d/19RYLXPqwP3Q0dJvVxA6lgqGs05HDx7JH/view?usp=drive_link</t>
  </si>
  <si>
    <t>B28</t>
  </si>
  <si>
    <t>Chloroform</t>
  </si>
  <si>
    <t>CHCl3</t>
  </si>
  <si>
    <t>A - 1022 - SmartLab dan 67663 - RCl Labscan</t>
  </si>
  <si>
    <t xml:space="preserve">Chloroform </t>
  </si>
  <si>
    <t>https://drive.google.com/file/d/1XJl0yAW65MHMtrIeJWqClKPWRt940ap-/view?usp=drive_link</t>
  </si>
  <si>
    <t>B29</t>
  </si>
  <si>
    <t>Methanol</t>
  </si>
  <si>
    <t>CH3OH</t>
  </si>
  <si>
    <t>A - 1056 - SmartLab</t>
  </si>
  <si>
    <t>https://drive.google.com/file/d/1c_xMUTC2D_Kq16zzoObZ0Ae4K7nRmh6y/view?usp=drive_link</t>
  </si>
  <si>
    <t>https://drive.google.com/file/d/1ygxwedOyTgJmStXYCugmmwMgT-1DsvN1/view?usp=drive_link</t>
  </si>
  <si>
    <t>B30</t>
  </si>
  <si>
    <t>Acetic Acid Glasial</t>
  </si>
  <si>
    <t>CH3COOH</t>
  </si>
  <si>
    <t>A - 1001 - SmartLab</t>
  </si>
  <si>
    <t xml:space="preserve">CN, PO4, NO2-UA,
</t>
  </si>
  <si>
    <t>https://drive.google.com/open?id=1MzFgy8_B4ZQ8n6XKO9uhli_8a7unbPQL</t>
  </si>
  <si>
    <t>https://drive.google.com/file/d/1hQZg95U8uJQOoqrQhkaCeikkpylW0pf8/view?usp=drive_link</t>
  </si>
  <si>
    <t>B31</t>
  </si>
  <si>
    <t>n-Hexadecane</t>
  </si>
  <si>
    <t>C16H34</t>
  </si>
  <si>
    <t>8.20633 - SigmaAldrich</t>
  </si>
  <si>
    <t>https://drive.google.com/file/d/15TGXkl_WuOPltKUWpx95uojBXzOCnbCg/view?usp=drive_link</t>
  </si>
  <si>
    <t>https://drive.google.com/file/d/1pmXVgvtfPVNCbv2MC3bZdXCnSwhFQ8CK/view?usp=drive_link</t>
  </si>
  <si>
    <t>B32</t>
  </si>
  <si>
    <t>Orto-Asam Fosfor 85%</t>
  </si>
  <si>
    <t>H3PO4</t>
  </si>
  <si>
    <t xml:space="preserve">A-1076 - Smartlab </t>
  </si>
  <si>
    <t>Cr6+,SO2 UA,NO2</t>
  </si>
  <si>
    <t>https://drive.google.com/file/d/12ObZkyk6h24YKJDvLfJx2lMTknk0DVGP/view?usp=drive_link</t>
  </si>
  <si>
    <t>https://drive.google.com/file/d/1nttINu5Tnxi7goZliMNn2_jXSAvYIpPJ/view?usp=drive_link</t>
  </si>
  <si>
    <t>B33</t>
  </si>
  <si>
    <t>Sodium hypochlorite solution</t>
  </si>
  <si>
    <t>NaClO</t>
  </si>
  <si>
    <t>239305 - SigmaAldrich</t>
  </si>
  <si>
    <t>https://drive.google.com/file/d/1I-Qhl9Ck1CvSdygSf1jujH9lbWANvJzS/view?usp=drive_link</t>
  </si>
  <si>
    <t>https://drive.google.com/file/d/1-dTQxkOkXw3-fMXrVIeKxcI83m7fHyRm/view?usp=drive_link</t>
  </si>
  <si>
    <t>B34</t>
  </si>
  <si>
    <t>Vetro Clean</t>
  </si>
  <si>
    <t>BTLC9001033 - SmartLab</t>
  </si>
  <si>
    <t>Pencuci alat gelas</t>
  </si>
  <si>
    <t>B35</t>
  </si>
  <si>
    <t>Ethanol</t>
  </si>
  <si>
    <t>C2H6O</t>
  </si>
  <si>
    <t>1.00983.2500 - SigmaAldrich</t>
  </si>
  <si>
    <t>https://drive.google.com/file/d/1eWZGdOGrYqE5N-wUkwSaERtC8vYpFkxf/view?usp=drive_link</t>
  </si>
  <si>
    <t>https://drive.google.com/file/d/1jPUChBVn8xJCp8SGymyigOgOF0iKrRNR/view?usp=drive_link</t>
  </si>
  <si>
    <t>B36</t>
  </si>
  <si>
    <t>Buffer solution pH 4</t>
  </si>
  <si>
    <t>1.09435.1000 - SigmaAldrich</t>
  </si>
  <si>
    <t>pH</t>
  </si>
  <si>
    <t>https://drive.google.com/open?id=1t79_veZXWi5abRmPQf3KERDbfteZWoT6</t>
  </si>
  <si>
    <t>https://drive.google.com/file/d/1ycKlkoDrSp1nFocGxFrADH_oXXp0WJXw/view?usp=drive_link</t>
  </si>
  <si>
    <t>B37</t>
  </si>
  <si>
    <t>Buffer solution pH 7</t>
  </si>
  <si>
    <t>1.09439.1000 - SigmaAldrich</t>
  </si>
  <si>
    <t>https://drive.google.com/open?id=1J5GhZg4JQDfOftshI4pDpkmD1xWW-cbY</t>
  </si>
  <si>
    <t>https://drive.google.com/file/d/1ON6zCYZAafLVYkPZ2mC1raz2eARd75hB/view?usp=drive_link</t>
  </si>
  <si>
    <t>B38</t>
  </si>
  <si>
    <t>Buffer solution pH 10</t>
  </si>
  <si>
    <t>1.09438.1000 - SigmaAldrich</t>
  </si>
  <si>
    <t>https://drive.google.com/open?id=1Zn_acBkl0d6BKMZogk6gUGF0RWsjlABE</t>
  </si>
  <si>
    <t>https://drive.google.com/file/d/1K6YUrYJkrw9S6sCSkAvd3vGCKbknGBCs/view?usp=drive_link</t>
  </si>
  <si>
    <t>B39</t>
  </si>
  <si>
    <t xml:space="preserve">Ammonia Solution </t>
  </si>
  <si>
    <t>NH4OH</t>
  </si>
  <si>
    <t>00027- LobaChemie</t>
  </si>
  <si>
    <t>https://drive.google.com/open?id=1Dt-lmZ5AlO6DOjRXWW4Z9CtSpkuEPV12</t>
  </si>
  <si>
    <t>https://drive.google.com/file/d/1Tu7OXoy0qy1t-R0UYPa9Cd1Or7_H9Ak9/view?usp=drive_link</t>
  </si>
  <si>
    <t>B40</t>
  </si>
  <si>
    <t>Hydrogen Peroxide Solution 30%</t>
  </si>
  <si>
    <t>H2O2</t>
  </si>
  <si>
    <t>A-1052 - Smartlab</t>
  </si>
  <si>
    <t>NO2, Cl-</t>
  </si>
  <si>
    <t>https://drive.google.com/file/d/1JlzXgmZaMKh94HLrlM_OfOSxPdfB4zlz/view?usp=sharing</t>
  </si>
  <si>
    <t>https://drive.google.com/file/d/1YgqoYw0D69ahPMsE_PV7T26wcj31dGef/view?usp=drive_link</t>
  </si>
  <si>
    <t>B41</t>
  </si>
  <si>
    <t xml:space="preserve">2-Propanol </t>
  </si>
  <si>
    <t>CH3CH(OH)CH3</t>
  </si>
  <si>
    <t xml:space="preserve">1.09634.1000 - SigmaAldrich </t>
  </si>
  <si>
    <t>https://drive.google.com/file/d/1QboQY5psdkLqzOy9ARmYjODrgoB8FZvp/view?usp=drive_link</t>
  </si>
  <si>
    <t>https://drive.google.com/file/d/181V24ub3XpT0exI8VmwHXZYfrzrtd-Ts/view?usp=drive_link</t>
  </si>
  <si>
    <t>B42</t>
  </si>
  <si>
    <t>BOD Solution</t>
  </si>
  <si>
    <t>BOD1000- SigmaAldrich</t>
  </si>
  <si>
    <t>https://drive.google.com/file/d/1xcMyBMvoyhV0q2mb2pNPIrzkih9fblAE/view?usp=drive_link</t>
  </si>
  <si>
    <t>https://drive.google.com/file/d/1SfOGFNZ8NsIt_FQlR8hG3mxjLeHSKmM3/view?usp=drive_link</t>
  </si>
  <si>
    <t>B43</t>
  </si>
  <si>
    <t>Aluminum Standard Solution</t>
  </si>
  <si>
    <t>Al</t>
  </si>
  <si>
    <t>61935 - SigmaAldrich</t>
  </si>
  <si>
    <t>https://drive.google.com/file/d/1U5AXLnhGBUTk7MHbUWlkl95cFxDnpknH/view?usp=drive_link</t>
  </si>
  <si>
    <t>https://drive.google.com/file/d/1nvRCuK4DS3yA7owL2Io37Fd7Gk-PVTfh/view?usp=drive_link</t>
  </si>
  <si>
    <t>B44</t>
  </si>
  <si>
    <t>Sterikon plus Bioindikator</t>
  </si>
  <si>
    <t>1.10274.0001 - Milipore</t>
  </si>
  <si>
    <t>pcs</t>
  </si>
  <si>
    <t>Uji Kinerja Autoclave</t>
  </si>
  <si>
    <t>https://drive.google.com/file/d/1uxi0hcB7rw8a9dRtsz9JV-uD9Qsdg_Si/view?usp=sharing</t>
  </si>
  <si>
    <t>https://drive.google.com/file/d/19P57vkhiyf4A888u-FqZ3oxbp7dpcPaw/view?usp=drive_link</t>
  </si>
  <si>
    <t>B45</t>
  </si>
  <si>
    <t xml:space="preserve">Formaldehyde Solution </t>
  </si>
  <si>
    <t>HCHO</t>
  </si>
  <si>
    <t>00147 - LobaChemie</t>
  </si>
  <si>
    <t>https://drive.google.com/file/d/1BnRfRydfp4KrrEx1mdoIxDDHua6JQ5Hg/view?usp=drive_link</t>
  </si>
  <si>
    <t>https://drive.google.com/file/d/1vA29_cs479Dob05f8G0X1i4PgrnELQI6/view?usp=drive_link</t>
  </si>
  <si>
    <t>B46</t>
  </si>
  <si>
    <t>Kovacs' Indole Reagent</t>
  </si>
  <si>
    <t>R008 - Himedia</t>
  </si>
  <si>
    <t>Uji Indol</t>
  </si>
  <si>
    <t>https://drive.google.com/file/d/17yqsvL2cDIzQVipusrDhh1mD5KbV1pWb/view?usp=sharing</t>
  </si>
  <si>
    <t>https://drive.google.com/file/d/1kelnYho5SC5mSNu5DYsA42yuFbA9Hrp-/view?usp=drive_link</t>
  </si>
  <si>
    <t>B47</t>
  </si>
  <si>
    <t xml:space="preserve">Sulfide Standard Solution </t>
  </si>
  <si>
    <t>ICS023 - Sigmaladrich</t>
  </si>
  <si>
    <t>https://drive.google.com/file/d/14hNnyN1656Kfosap1AmQUK3z7ibLwuou/view?usp=sharing</t>
  </si>
  <si>
    <t>https://drive.google.com/file/d/1lfmnFkbE4nsTTHLlPsYaSioVdpKZQ04f/view?usp=drive_link</t>
  </si>
  <si>
    <t>B48</t>
  </si>
  <si>
    <t>Arsenic Standard Solution</t>
  </si>
  <si>
    <t>As</t>
  </si>
  <si>
    <t>1.19773.0500 - SigmaAldrich</t>
  </si>
  <si>
    <t>https://drive.google.com/file/d/1z1khXQ9z9p1cn4hUF_SB11zKUnL-_sja/view?usp=drive_link</t>
  </si>
  <si>
    <t>https://drive.google.com/file/d/19E6tBxFRX0mSfAhiGKKRsM41NYj41sKN/view?usp=drive_link</t>
  </si>
  <si>
    <t>B49</t>
  </si>
  <si>
    <t xml:space="preserve">Boron Standard Solution </t>
  </si>
  <si>
    <t>B</t>
  </si>
  <si>
    <t>A400W - LobaChemie</t>
  </si>
  <si>
    <t>https://drive.google.com/file/d/1IUzwWA1WWyQIfWjKVQOCyJVXXvMH1MwS/view?usp=drive_link</t>
  </si>
  <si>
    <t>https://drive.google.com/file/d/1O77JzoHfWupV-n4iPbwhVYHevKQnXG_g/view?usp=drive_link</t>
  </si>
  <si>
    <t>B50</t>
  </si>
  <si>
    <t>Aromatic Standard</t>
  </si>
  <si>
    <t>ASM-092-04 - AccuStandard</t>
  </si>
  <si>
    <t>GC-MS</t>
  </si>
  <si>
    <t>https://drive.google.com/file/d/1QJ3K5Mno1uSgrRbj4VLj9C-OfMlmIFZA/view?usp=drive_link</t>
  </si>
  <si>
    <t>B51</t>
  </si>
  <si>
    <t>Turbidity 4000 NTU</t>
  </si>
  <si>
    <t>LRAD9262 - Supelco</t>
  </si>
  <si>
    <t>kekeruhan</t>
  </si>
  <si>
    <t>https://drive.google.com/file/d/1-6eqFLNNofsQSdEAkNtWe1Osnigmit1U/view?usp=sharing</t>
  </si>
  <si>
    <t>https://drive.google.com/file/d/1XU7EN1dBjp8f4rEq-yA50gugCrv_nDze/view?usp=drive_link</t>
  </si>
  <si>
    <t>B52</t>
  </si>
  <si>
    <t>Nitrate Standard Solution</t>
  </si>
  <si>
    <t>NO3-N</t>
  </si>
  <si>
    <t>1.25040.0100 - Supelco</t>
  </si>
  <si>
    <t>Nitrat</t>
  </si>
  <si>
    <t>https://drive.google.com/file/d/17cmJGNcCZhlT8Czdhzz4LjI_xEVPHHA6/view?usp=sharing</t>
  </si>
  <si>
    <t>https://drive.google.com/file/d/1wjjr5K8OBRlfABZoV3WE_zwDELh5LeGT/view?usp=drive_link</t>
  </si>
  <si>
    <t>B53</t>
  </si>
  <si>
    <t>Total Dissolved Solids calibration standard</t>
  </si>
  <si>
    <t>TDS</t>
  </si>
  <si>
    <t>TDS1000 - Sigmaaldrich</t>
  </si>
  <si>
    <t>https://drive.google.com/file/d/1raUf728K-MhPXMmFvO2vCf4gBbUm3fC1/view?usp=drive_link</t>
  </si>
  <si>
    <t>https://drive.google.com/file/d/1SCzuMwmtDfBb4y9Maf45QzBpzmFds9TC/view?usp=drive_link</t>
  </si>
  <si>
    <t>https://drive.google.com/file/d/1uLBtTWiIUmh2akAqK2wb3KxO0-dEgJry/view?usp=drive_link</t>
  </si>
  <si>
    <t>https://drive.google.com/file/d/1x-05GlTLyRu5jrsXhHjkbgDkK4mBGU-6/view?usp=drive_link</t>
  </si>
  <si>
    <t>B54</t>
  </si>
  <si>
    <t>Pyridine 99.5%</t>
  </si>
  <si>
    <t>C5H5N</t>
  </si>
  <si>
    <t>00281 - LobaChemie</t>
  </si>
  <si>
    <t>https://drive.google.com/file/d/1Ev3BuLSZql-v8qxKLdsiO1yP3jR_0VnZ/view?usp=drive_link</t>
  </si>
  <si>
    <t>https://drive.google.com/file/d/1f5PymF11AIaVO5YoNtQTJOCabLXxkug9/view?usp=drive_link</t>
  </si>
  <si>
    <t>B55</t>
  </si>
  <si>
    <t>Total Phenolics 1000 mg/L</t>
  </si>
  <si>
    <t>TPC1000 - SigmaAldrich</t>
  </si>
  <si>
    <t>Phneol</t>
  </si>
  <si>
    <t>https://drive.google.com/file/d/1ZwiHCCQ1WJ7KfreoSrjzxRqM2bsPIEyV/view?usp=drive_link</t>
  </si>
  <si>
    <t>https://drive.google.com/file/d/1WEFsfZigWnrW-tJhxzwFCSg_pvAR_-Y2/view?usp=drive_link</t>
  </si>
  <si>
    <t>B56</t>
  </si>
  <si>
    <t>Toluene 99.5%</t>
  </si>
  <si>
    <t>C7H8</t>
  </si>
  <si>
    <t xml:space="preserve">00326 - LobaChemie </t>
  </si>
  <si>
    <t>https://drive.google.com/file/d/11O3ZEbQ3sm5eW-YSVJBuc05_VMFP22dD/view?usp=drive_link</t>
  </si>
  <si>
    <t>https://drive.google.com/file/d/1Q_DCb19pGWb1YD4sGqkOeePRV5i6Gtin/view?usp=drive_link</t>
  </si>
  <si>
    <t>B57</t>
  </si>
  <si>
    <t>Benzene 99.9%</t>
  </si>
  <si>
    <t>C6H6</t>
  </si>
  <si>
    <t xml:space="preserve">0040A - LobaChemie </t>
  </si>
  <si>
    <t>https://drive.google.com/file/d/19yWKIxo4l9VZ3jtE0miQ_aBbJOuAo2jG/view?usp=drive_link</t>
  </si>
  <si>
    <t>https://drive.google.com/file/d/1TgxF1p_IE56dXXDGu4pN_e_Sk9pw4sqf/view?usp=drive_link</t>
  </si>
  <si>
    <t>B58</t>
  </si>
  <si>
    <t>Perchloric Acid 70%</t>
  </si>
  <si>
    <t>HClO4</t>
  </si>
  <si>
    <t xml:space="preserve">0241F - LobaChemie </t>
  </si>
  <si>
    <t>ICP-OES</t>
  </si>
  <si>
    <t>https://drive.google.com/file/d/1PKXh7aX-2hZuPWuYMlXdfi6BTFLQOGf7/view?usp=drive_link</t>
  </si>
  <si>
    <t>https://drive.google.com/file/d/1JOJRmpPLcvW-fxWD6Rb6kYnHODNigoPr/view?usp=drive_link</t>
  </si>
  <si>
    <t>B60</t>
  </si>
  <si>
    <t>Xylenes 98.5%</t>
  </si>
  <si>
    <t>C6H4(CH3)2</t>
  </si>
  <si>
    <t>1330207 - MTEDIA</t>
  </si>
  <si>
    <t>https://drive.google.com/file/d/1btTQAePSCCr463EQxvDs7GLjLuYfna8O/view?usp=drive_link</t>
  </si>
  <si>
    <t>https://drive.google.com/file/d/1wCVLwnjzZClj7OMtHL76WdHjSS33sIKP/view?usp=drive_link</t>
  </si>
  <si>
    <t>B61</t>
  </si>
  <si>
    <t>Styrene</t>
  </si>
  <si>
    <t>8076790100 - SigmaAldrich</t>
  </si>
  <si>
    <t>https://drive.google.com/file/d/1ko2FvqEwfveLZBhxfo62q5X5QTBNZq41/view?usp=drive_link</t>
  </si>
  <si>
    <t>https://drive.google.com/file/d/1_4-C9QEUxL2No1Lu1OQ2n28sKo52usZL/view?usp=drive_link</t>
  </si>
  <si>
    <t>C1</t>
  </si>
  <si>
    <t>Helium</t>
  </si>
  <si>
    <t>UHP</t>
  </si>
  <si>
    <t>Tabung</t>
  </si>
  <si>
    <t>C2</t>
  </si>
  <si>
    <t>Argon</t>
  </si>
  <si>
    <t>Laboratorium Penguji PT Sentral Sistem Laboratory</t>
  </si>
  <si>
    <t>SSL-FR-6.6.8; Rev.00; 02 September 2024</t>
  </si>
  <si>
    <t>Kartu Stok Alat dan Bahan</t>
  </si>
  <si>
    <t>No.</t>
  </si>
  <si>
    <t>Kode Barang</t>
  </si>
  <si>
    <t>Nama Bahan kimia</t>
  </si>
  <si>
    <t>Actual Qty</t>
  </si>
  <si>
    <t>Total Incoming</t>
  </si>
  <si>
    <t>Total Usage</t>
  </si>
  <si>
    <t>Status</t>
  </si>
  <si>
    <t>Jika Limited Stock, PO Number</t>
  </si>
  <si>
    <t>Ket</t>
  </si>
  <si>
    <t>bahan pendukung, di hold</t>
  </si>
  <si>
    <t>Column 1</t>
  </si>
  <si>
    <t>Tanggal</t>
  </si>
  <si>
    <t>Kode Bahan Kimia</t>
  </si>
  <si>
    <t>Jumlah</t>
  </si>
  <si>
    <t>Satuan</t>
  </si>
  <si>
    <t>Expired Date</t>
  </si>
  <si>
    <t>Gram</t>
  </si>
  <si>
    <t>Timestamp</t>
  </si>
  <si>
    <t>Personil/Analis</t>
  </si>
  <si>
    <t>Lucy</t>
  </si>
  <si>
    <t>Fajar</t>
  </si>
  <si>
    <t>Upay</t>
  </si>
  <si>
    <t>Luthfi</t>
  </si>
  <si>
    <t>FAJAR</t>
  </si>
  <si>
    <t>fajar</t>
  </si>
  <si>
    <t xml:space="preserve">Luthfi </t>
  </si>
  <si>
    <t>luthfi</t>
  </si>
  <si>
    <t>Dennisa</t>
  </si>
  <si>
    <t>Dennisa Ameria S.</t>
  </si>
  <si>
    <t>Iza</t>
  </si>
  <si>
    <t>Eflizari</t>
  </si>
  <si>
    <t>anggun</t>
  </si>
  <si>
    <t>anngun</t>
  </si>
  <si>
    <t>Rahma</t>
  </si>
  <si>
    <t>rahma</t>
  </si>
  <si>
    <t>RF</t>
  </si>
  <si>
    <t>Anggun</t>
  </si>
  <si>
    <t>RAHMA</t>
  </si>
  <si>
    <t>EP</t>
  </si>
  <si>
    <t xml:space="preserve">Dennisa </t>
  </si>
  <si>
    <t>faar</t>
  </si>
  <si>
    <t>AA</t>
  </si>
  <si>
    <t>DA</t>
  </si>
  <si>
    <t xml:space="preserve">Fajar </t>
  </si>
  <si>
    <t>Jenis Barang</t>
  </si>
  <si>
    <t>Padatan</t>
  </si>
  <si>
    <t>A</t>
  </si>
  <si>
    <t>Cairan</t>
  </si>
  <si>
    <t>Gas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</si>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</sst>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2">
    <font>
      <sz val="10.0"/>
      <color rgb="FF000000"/>
      <name val="Arial"/>
      <scheme val="minor"/>
    </font>
    <font>
      <b/>
      <sz val="11.0"/>
      <color rgb="FF000000"/>
      <name val="Tahoma"/>
    </font>
    <font>
      <sz val="11.0"/>
      <color theme="1"/>
      <name val="Tahoma"/>
    </font>
    <font>
      <sz val="11.0"/>
      <color rgb="FF000000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sz val="11.0"/>
      <color rgb="FF000000"/>
      <name val="Calibri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rgb="FF000000"/>
      <name val="Tahoma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color rgb="FF0000FF"/>
    </font>
    <font>
      <i/>
      <sz val="11.0"/>
      <color theme="1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sz val="11.0"/>
      <color rgb="FF202122"/>
      <name val="Tahoma"/>
    </font>
    <font>
      <sz val="11.0"/>
      <color rgb="FF001D35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sz val="11.0"/>
      <color rgb="FF3C78D8"/>
      <name val="Tahoma"/>
    </font>
    <font>
      <u/>
      <sz val="11.0"/>
      <color rgb="FF1155CC"/>
      <name val="Tahoma"/>
    </font>
    <font>
      <u/>
      <sz val="11.0"/>
      <color rgb="FF000000"/>
      <name val="Tahoma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2.0"/>
      <color rgb="FFFFFFFF"/>
      <name val="Calibri"/>
    </font>
    <font>
      <sz val="11.0"/>
      <color rgb="FF9C0006"/>
      <name val="Calibri"/>
    </font>
    <font>
      <color theme="1"/>
      <name val="Arial"/>
      <scheme val="minor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4D79B"/>
        <bgColor rgb="FFC4D79B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8FC"/>
        <bgColor rgb="FFF8F8FC"/>
      </patternFill>
    </fill>
    <fill>
      <patternFill patternType="solid">
        <fgColor rgb="FF76933C"/>
        <bgColor rgb="FF76933C"/>
      </patternFill>
    </fill>
    <fill>
      <patternFill patternType="solid">
        <fgColor rgb="FFFFC7CE"/>
        <bgColor rgb="FFFFC7CE"/>
      </patternFill>
    </fill>
    <fill>
      <patternFill patternType="solid">
        <fgColor rgb="FFD8E4BC"/>
        <bgColor rgb="FFD8E4B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3" fillId="3" fontId="3" numFmtId="0" xfId="0" applyAlignment="1" applyBorder="1" applyFill="1" applyFont="1">
      <alignment horizontal="center" readingOrder="0" shrinkToFit="0" vertical="bottom" wrapText="0"/>
    </xf>
    <xf borderId="4" fillId="4" fontId="3" numFmtId="0" xfId="0" applyAlignment="1" applyBorder="1" applyFill="1" applyFont="1">
      <alignment horizontal="left" readingOrder="0" shrinkToFit="0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5" fontId="3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4" fillId="5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left" readingOrder="0" shrinkToFit="0" wrapText="0"/>
    </xf>
    <xf borderId="4" fillId="6" fontId="3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5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left" readingOrder="0" shrinkToFit="0" wrapText="0"/>
    </xf>
    <xf borderId="4" fillId="4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wrapText="1"/>
    </xf>
    <xf borderId="2" fillId="0" fontId="3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vertical="bottom"/>
    </xf>
    <xf borderId="4" fillId="3" fontId="3" numFmtId="0" xfId="0" applyAlignment="1" applyBorder="1" applyFont="1">
      <alignment readingOrder="0" shrinkToFit="0" vertical="bottom" wrapText="0"/>
    </xf>
    <xf borderId="4" fillId="6" fontId="3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1" fillId="5" fontId="11" numFmtId="0" xfId="0" applyAlignment="1" applyBorder="1" applyFont="1">
      <alignment readingOrder="0"/>
    </xf>
    <xf borderId="4" fillId="0" fontId="1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5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readingOrder="0" shrinkToFit="0" wrapText="1"/>
    </xf>
    <xf borderId="1" fillId="0" fontId="16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4" fillId="0" fontId="19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readingOrder="0" shrinkToFit="0" wrapText="1"/>
    </xf>
    <xf borderId="4" fillId="0" fontId="3" numFmtId="0" xfId="0" applyAlignment="1" applyBorder="1" applyFont="1">
      <alignment horizontal="left" readingOrder="0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0" fontId="2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4" fillId="0" fontId="23" numFmtId="0" xfId="0" applyAlignment="1" applyBorder="1" applyFont="1">
      <alignment readingOrder="0" shrinkToFit="0" vertical="bottom" wrapText="1"/>
    </xf>
    <xf borderId="1" fillId="7" fontId="3" numFmtId="0" xfId="0" applyAlignment="1" applyBorder="1" applyFill="1" applyFont="1">
      <alignment readingOrder="0"/>
    </xf>
    <xf borderId="4" fillId="0" fontId="24" numFmtId="0" xfId="0" applyAlignment="1" applyBorder="1" applyFont="1">
      <alignment readingOrder="0" shrinkToFit="0" vertical="bottom" wrapText="1"/>
    </xf>
    <xf borderId="4" fillId="0" fontId="25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horizontal="center"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8" fontId="28" numFmtId="0" xfId="0" applyAlignment="1" applyBorder="1" applyFill="1" applyFont="1">
      <alignment horizontal="center" readingOrder="0" shrinkToFit="0" wrapText="0"/>
    </xf>
    <xf borderId="1" fillId="8" fontId="2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9" fontId="29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left" shrinkToFit="0" vertical="bottom" wrapText="0"/>
    </xf>
    <xf borderId="0" fillId="0" fontId="30" numFmtId="0" xfId="0" applyAlignment="1" applyFont="1">
      <alignment horizontal="left" readingOrder="0" shrinkToFit="0" vertical="center" wrapText="0"/>
    </xf>
    <xf borderId="0" fillId="0" fontId="30" numFmtId="164" xfId="0" applyAlignment="1" applyFont="1" applyNumberFormat="1">
      <alignment readingOrder="0" shrinkToFit="0" vertical="center" wrapText="0"/>
    </xf>
    <xf borderId="0" fillId="0" fontId="30" numFmtId="14" xfId="0" applyAlignment="1" applyFont="1" applyNumberFormat="1">
      <alignment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30" numFmtId="164" xfId="0" applyAlignment="1" applyFont="1" applyNumberFormat="1">
      <alignment readingOrder="0" shrinkToFit="0" vertical="center" wrapText="0"/>
    </xf>
    <xf borderId="0" fillId="0" fontId="30" numFmtId="14" xfId="0" applyAlignment="1" applyFont="1" applyNumberFormat="1">
      <alignment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30" numFmtId="165" xfId="0" applyAlignment="1" applyFont="1" applyNumberFormat="1">
      <alignment readingOrder="0" shrinkToFit="0" vertical="center" wrapText="0"/>
    </xf>
    <xf borderId="1" fillId="0" fontId="30" numFmtId="0" xfId="0" applyAlignment="1" applyBorder="1" applyFont="1">
      <alignment horizontal="center" readingOrder="0" shrinkToFit="0" vertical="center" wrapText="0"/>
    </xf>
    <xf borderId="0" fillId="0" fontId="30" numFmtId="3" xfId="0" applyAlignment="1" applyFont="1" applyNumberFormat="1">
      <alignment readingOrder="0" shrinkToFit="0" vertical="center" wrapText="0"/>
    </xf>
    <xf borderId="1" fillId="0" fontId="30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1" fillId="10" fontId="31" numFmtId="0" xfId="0" applyAlignment="1" applyBorder="1" applyFill="1" applyFont="1">
      <alignment horizontal="center" readingOrder="0" shrinkToFit="0" vertical="bottom" wrapText="0"/>
    </xf>
    <xf borderId="2" fillId="10" fontId="31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4" pivot="0" name="Spesifikasi Ba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Incoming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Form Responses Usage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057275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62:B165" displayName="Table1" name="Table1" id="1">
  <tableColumns count="1">
    <tableColumn name="Total Phenolics 1000 mg/L" id="1"/>
  </tableColumns>
  <tableStyleInfo name="Spesifikasi Bahan-style" showColumnStripes="0" showFirstColumn="1" showLastColumn="1" showRowStripes="1"/>
</table>
</file>

<file path=xl/tables/table2.xml><?xml version="1.0" encoding="utf-8"?>
<table xmlns="http://schemas.openxmlformats.org/spreadsheetml/2006/main" ref="A1:F214" displayName="Form_Responses2" name="Form_Responses2" id="2">
  <autoFilter ref="$A$1:$F$214"/>
  <tableColumns count="6">
    <tableColumn name="Column 1" id="1"/>
    <tableColumn name="Tanggal" id="2"/>
    <tableColumn name="Kode Bahan Kimia" id="3"/>
    <tableColumn name="Jumlah" id="4"/>
    <tableColumn name="Satuan" id="5"/>
    <tableColumn name="Expired Date" id="6"/>
  </tableColumns>
  <tableStyleInfo name="Form Responses Incoming-style" showColumnStripes="0" showFirstColumn="1" showLastColumn="1" showRowStripes="1"/>
</table>
</file>

<file path=xl/tables/table3.xml><?xml version="1.0" encoding="utf-8"?>
<table xmlns="http://schemas.openxmlformats.org/spreadsheetml/2006/main" ref="A1:F1161" displayName="Form_Responses" name="Form_Responses" id="3">
  <autoFilter ref="$A$1:$F$1161"/>
  <tableColumns count="6">
    <tableColumn name="Timestamp" id="1"/>
    <tableColumn name="Tanggal" id="2"/>
    <tableColumn name="Kode Bahan Kimia" id="3"/>
    <tableColumn name="Jumlah" id="4"/>
    <tableColumn name="Satuan" id="5"/>
    <tableColumn name="Personil/Analis" id="6"/>
  </tableColumns>
  <tableStyleInfo name="Form Responses Us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2fNOLKwqIkm2z8CUj68QWIvGXtZUdGE/view?usp=drive_link" TargetMode="External"/><Relationship Id="rId190" Type="http://schemas.openxmlformats.org/officeDocument/2006/relationships/hyperlink" Target="https://drive.google.com/file/d/1YBLJqlF1c-3XnfXkzn9-m-etxWLvL_ku/view?usp=drive_link" TargetMode="External"/><Relationship Id="rId42" Type="http://schemas.openxmlformats.org/officeDocument/2006/relationships/hyperlink" Target="https://drive.google.com/file/d/1N0lYcrVwAM4yar9B-JHF2OQS_RT_1N2f/view?usp=drive_link" TargetMode="External"/><Relationship Id="rId41" Type="http://schemas.openxmlformats.org/officeDocument/2006/relationships/hyperlink" Target="https://drive.google.com/file/d/1vb1myK04IHP-Ju8sKQ3HFglu5AxW1pBa/view?usp=drive_link" TargetMode="External"/><Relationship Id="rId44" Type="http://schemas.openxmlformats.org/officeDocument/2006/relationships/hyperlink" Target="https://drive.google.com/file/d/1CbAF245YelBlIDhMWO-xXDuQgdKZ-l36/view?usp=drive_link" TargetMode="External"/><Relationship Id="rId194" Type="http://schemas.openxmlformats.org/officeDocument/2006/relationships/hyperlink" Target="https://drive.google.com/file/d/1UIKqaVVlXHnjyqQRVOw_qbvkTWCaTFLV/view?usp=drive_link" TargetMode="External"/><Relationship Id="rId43" Type="http://schemas.openxmlformats.org/officeDocument/2006/relationships/hyperlink" Target="https://drive.google.com/file/d/1kPRaamHZXJRJBvLTUCU_yKtyk7tIVjAE/view?usp=drive_link" TargetMode="External"/><Relationship Id="rId193" Type="http://schemas.openxmlformats.org/officeDocument/2006/relationships/hyperlink" Target="https://drive.google.com/file/d/1gbs9XoUnQd26QZN6TwM0dItKS5f6EO4N/view?usp=sharing" TargetMode="External"/><Relationship Id="rId46" Type="http://schemas.openxmlformats.org/officeDocument/2006/relationships/hyperlink" Target="https://drive.google.com/file/d/1_2vEHaSNED5GjWsZHA06pCOgxXLekFcs/view?usp=drive_link" TargetMode="External"/><Relationship Id="rId192" Type="http://schemas.openxmlformats.org/officeDocument/2006/relationships/hyperlink" Target="https://drive.google.com/file/d/1tboBibq-tfwfwN_iLJsPybsErCr7Jg5y/view?usp=drive_link" TargetMode="External"/><Relationship Id="rId45" Type="http://schemas.openxmlformats.org/officeDocument/2006/relationships/hyperlink" Target="https://drive.google.com/file/d/1HIAslhCb9wPxUvgG6_758ts0lOuGzS4O/view?usp=drive_link" TargetMode="External"/><Relationship Id="rId191" Type="http://schemas.openxmlformats.org/officeDocument/2006/relationships/hyperlink" Target="https://drive.google.com/file/d/1qVZ5LBbLmlsYXj8vFrY2_JNHyZStaz8h/view?usp=drive_link" TargetMode="External"/><Relationship Id="rId48" Type="http://schemas.openxmlformats.org/officeDocument/2006/relationships/hyperlink" Target="https://drive.google.com/file/d/1d5r4SuZoUz_bJC-y006F-P_TawnC26v_/view?usp=drive_link" TargetMode="External"/><Relationship Id="rId187" Type="http://schemas.openxmlformats.org/officeDocument/2006/relationships/hyperlink" Target="https://drive.google.com/file/d/1HYo2dBEhE4O_kjILkPV_xETqSDJAFlzF/view?usp=drive_link" TargetMode="External"/><Relationship Id="rId47" Type="http://schemas.openxmlformats.org/officeDocument/2006/relationships/hyperlink" Target="https://drive.google.com/file/d/1UK1EDgucGEmqBzRc4ors3ltisTkjZbON/view?usp=drive_link" TargetMode="External"/><Relationship Id="rId186" Type="http://schemas.openxmlformats.org/officeDocument/2006/relationships/hyperlink" Target="https://drive.google.com/file/d/11gKKYaM4E6rG6tjZXygPGEtWs2CprQK5/view?usp=drive_link" TargetMode="External"/><Relationship Id="rId185" Type="http://schemas.openxmlformats.org/officeDocument/2006/relationships/hyperlink" Target="https://drive.google.com/file/d/115kAulGS9p0La7zgxlWKfEmcg3U7dl5J/view?usp=drive_link" TargetMode="External"/><Relationship Id="rId49" Type="http://schemas.openxmlformats.org/officeDocument/2006/relationships/hyperlink" Target="https://drive.google.com/file/d/1khT69iSFS9yKmopFecHWmFYSdWSNDYYK/view?usp=drive_link" TargetMode="External"/><Relationship Id="rId184" Type="http://schemas.openxmlformats.org/officeDocument/2006/relationships/hyperlink" Target="https://drive.google.com/file/d/1y8UASMG5vVz1094m8W50eidKwgbPy9PQ/view?usp=drive_link" TargetMode="External"/><Relationship Id="rId189" Type="http://schemas.openxmlformats.org/officeDocument/2006/relationships/hyperlink" Target="https://drive.google.com/file/d/1oGuEyPJPVOSzIam3lQWKMxeVMwYcf7oR/view?usp=drive_link" TargetMode="External"/><Relationship Id="rId188" Type="http://schemas.openxmlformats.org/officeDocument/2006/relationships/hyperlink" Target="https://drive.google.com/file/d/1TsijNvI8fBNiDkKtF4YWLEGu1yRSiNlq/view?usp=drive_link" TargetMode="External"/><Relationship Id="rId31" Type="http://schemas.openxmlformats.org/officeDocument/2006/relationships/hyperlink" Target="https://drive.google.com/file/d/1QihKSjMwGC-miyFOosi6OW8vcDuFDXPT/view?usp=drive_link" TargetMode="External"/><Relationship Id="rId30" Type="http://schemas.openxmlformats.org/officeDocument/2006/relationships/hyperlink" Target="https://drive.google.com/file/d/1hleB3eUTM0ZhwjdEfDtPDAFoxSLfuHkS/view?usp=drive_link" TargetMode="External"/><Relationship Id="rId33" Type="http://schemas.openxmlformats.org/officeDocument/2006/relationships/hyperlink" Target="https://drive.google.com/file/d/1CUukh3PO4IS56vVlJtlCIDiXxaCUEJ5i/view?usp=drive_link" TargetMode="External"/><Relationship Id="rId183" Type="http://schemas.openxmlformats.org/officeDocument/2006/relationships/hyperlink" Target="https://drive.google.com/file/d/1eRXHTqNgxzVVQeg1s3KGPWBvG71kAWTx/view?usp=drive_link" TargetMode="External"/><Relationship Id="rId32" Type="http://schemas.openxmlformats.org/officeDocument/2006/relationships/hyperlink" Target="https://drive.google.com/file/d/1l1j0ojH4L7KmKCGwDR878tuyDybn3HO5/view?usp=drive_link" TargetMode="External"/><Relationship Id="rId182" Type="http://schemas.openxmlformats.org/officeDocument/2006/relationships/hyperlink" Target="https://drive.google.com/file/d/1B8WuWl51B1mDt_Lf22AygYjDqrYAn8il/view?usp=drive_link" TargetMode="External"/><Relationship Id="rId35" Type="http://schemas.openxmlformats.org/officeDocument/2006/relationships/hyperlink" Target="https://drive.google.com/file/d/1UrF-mAbO_IFEfRH8lPJNFu0Tj7FlzfpP/view?usp=drive_link" TargetMode="External"/><Relationship Id="rId181" Type="http://schemas.openxmlformats.org/officeDocument/2006/relationships/hyperlink" Target="https://drive.google.com/file/d/1b3XrUhPW6KchWjmfn_0QBUSbxFzZcckv/view?usp=sharing" TargetMode="External"/><Relationship Id="rId34" Type="http://schemas.openxmlformats.org/officeDocument/2006/relationships/hyperlink" Target="https://drive.google.com/file/d/1fB_fMurrgsavZYLV8zvGMfl6Xdcw693a/view?usp=drive_link" TargetMode="External"/><Relationship Id="rId180" Type="http://schemas.openxmlformats.org/officeDocument/2006/relationships/hyperlink" Target="https://drive.google.com/file/d/1plluOqcJiLB9fq1dY-Q-5aUXv3qFJIMg/view?usp=drive_link" TargetMode="External"/><Relationship Id="rId37" Type="http://schemas.openxmlformats.org/officeDocument/2006/relationships/hyperlink" Target="https://drive.google.com/file/d/1EXGvn7KRBd7RqZuEuWgwRAXSfYVJsib7/view?usp=drive_link" TargetMode="External"/><Relationship Id="rId176" Type="http://schemas.openxmlformats.org/officeDocument/2006/relationships/hyperlink" Target="https://drive.google.com/file/d/1Tic3luxJTw-s2kFR3Kz-8Jl9SJkNeuUR/view?usp=drive_link" TargetMode="External"/><Relationship Id="rId297" Type="http://schemas.openxmlformats.org/officeDocument/2006/relationships/hyperlink" Target="https://drive.google.com/file/d/1lfmnFkbE4nsTTHLlPsYaSioVdpKZQ04f/view?usp=drive_link" TargetMode="External"/><Relationship Id="rId36" Type="http://schemas.openxmlformats.org/officeDocument/2006/relationships/hyperlink" Target="https://drive.google.com/file/d/13f3HrFi9HF4rjj5QRFtW_P1bcAXXDz_t/view?usp=drive_link" TargetMode="External"/><Relationship Id="rId175" Type="http://schemas.openxmlformats.org/officeDocument/2006/relationships/hyperlink" Target="https://drive.google.com/file/d/1WZ47lIslge9AaQOUnhIHg8xdRf7UWLvG/view?usp=sharing" TargetMode="External"/><Relationship Id="rId296" Type="http://schemas.openxmlformats.org/officeDocument/2006/relationships/hyperlink" Target="https://drive.google.com/file/d/14hNnyN1656Kfosap1AmQUK3z7ibLwuou/view?usp=sharing" TargetMode="External"/><Relationship Id="rId39" Type="http://schemas.openxmlformats.org/officeDocument/2006/relationships/hyperlink" Target="https://drive.google.com/file/d/1yZApZidjWgcbpKokYMp4hjhtlP-7ns_G/view?usp=drive_link" TargetMode="External"/><Relationship Id="rId174" Type="http://schemas.openxmlformats.org/officeDocument/2006/relationships/hyperlink" Target="https://drive.google.com/file/d/1WimmRRHQx-jXFzGwFXZlpIniwmk00NY8/view?usp=drive_link" TargetMode="External"/><Relationship Id="rId295" Type="http://schemas.openxmlformats.org/officeDocument/2006/relationships/hyperlink" Target="https://drive.google.com/file/d/1kelnYho5SC5mSNu5DYsA42yuFbA9Hrp-/view?usp=drive_link" TargetMode="External"/><Relationship Id="rId38" Type="http://schemas.openxmlformats.org/officeDocument/2006/relationships/hyperlink" Target="https://drive.google.com/file/d/1b-1ZqydFX4zKl_NxJh0Y9HDavD6H6Si0/view?usp=drive_link" TargetMode="External"/><Relationship Id="rId173" Type="http://schemas.openxmlformats.org/officeDocument/2006/relationships/hyperlink" Target="https://drive.google.com/file/d/1KZ25kechOWZDW3YgkEK3feZKvrq0I-eM/view?usp=drive_link" TargetMode="External"/><Relationship Id="rId294" Type="http://schemas.openxmlformats.org/officeDocument/2006/relationships/hyperlink" Target="https://drive.google.com/file/d/17yqsvL2cDIzQVipusrDhh1mD5KbV1pWb/view?usp=sharing" TargetMode="External"/><Relationship Id="rId179" Type="http://schemas.openxmlformats.org/officeDocument/2006/relationships/hyperlink" Target="https://drive.google.com/file/d/1syX6NFRj2IO2760PFYdwQH_GyW_wmsH-/view?usp=drive_link" TargetMode="External"/><Relationship Id="rId178" Type="http://schemas.openxmlformats.org/officeDocument/2006/relationships/hyperlink" Target="https://drive.google.com/file/d/1yNx7yEkU0r9vZRQmLevxfaasiam5baOA/view?usp=drive_link" TargetMode="External"/><Relationship Id="rId299" Type="http://schemas.openxmlformats.org/officeDocument/2006/relationships/hyperlink" Target="https://drive.google.com/file/d/19E6tBxFRX0mSfAhiGKKRsM41NYj41sKN/view?usp=drive_link" TargetMode="External"/><Relationship Id="rId177" Type="http://schemas.openxmlformats.org/officeDocument/2006/relationships/hyperlink" Target="https://drive.google.com/file/d/1rVQ6_2Gccq1R7vFFrT3_b_Vn5bTt5PYM/view?usp=sharing" TargetMode="External"/><Relationship Id="rId298" Type="http://schemas.openxmlformats.org/officeDocument/2006/relationships/hyperlink" Target="https://drive.google.com/file/d/1z1khXQ9z9p1cn4hUF_SB11zKUnL-_sja/view?usp=drive_link" TargetMode="External"/><Relationship Id="rId20" Type="http://schemas.openxmlformats.org/officeDocument/2006/relationships/hyperlink" Target="https://drive.google.com/file/d/1MUiO8uXF5m0_CMIO1JGDUDKWKAotu7Ja/view?usp=drive_link" TargetMode="External"/><Relationship Id="rId22" Type="http://schemas.openxmlformats.org/officeDocument/2006/relationships/hyperlink" Target="https://drive.google.com/file/d/1Gwc7J4it9Mf-jdOlsg3MHO8KQ6vS4nq_/view?usp=drive_link" TargetMode="External"/><Relationship Id="rId21" Type="http://schemas.openxmlformats.org/officeDocument/2006/relationships/hyperlink" Target="https://drive.google.com/file/d/1JWO6qIekSxTqNtbZYxYjuVu17m4rIf1-/view?usp=drive_link" TargetMode="External"/><Relationship Id="rId24" Type="http://schemas.openxmlformats.org/officeDocument/2006/relationships/hyperlink" Target="https://drive.google.com/file/d/1cmGRvcbqll72q9-1_WEBdsDzjcL8ZSzC/view?usp=drive_link" TargetMode="External"/><Relationship Id="rId23" Type="http://schemas.openxmlformats.org/officeDocument/2006/relationships/hyperlink" Target="https://drive.google.com/file/d/1Xz9d8fXaWwwcl3WuU8wmSu85eRabrWnP/view?usp=drive_link" TargetMode="External"/><Relationship Id="rId26" Type="http://schemas.openxmlformats.org/officeDocument/2006/relationships/hyperlink" Target="https://drive.google.com/file/d/190DC5GPJECq-pgBsz3TunDZEprShJ_i1/view?usp=drive_link" TargetMode="External"/><Relationship Id="rId25" Type="http://schemas.openxmlformats.org/officeDocument/2006/relationships/hyperlink" Target="https://drive.google.com/file/d/1vwPs9JQ13OVu7t_6KPKRh3GZztKZJOWT/view?usp=drive_link" TargetMode="External"/><Relationship Id="rId28" Type="http://schemas.openxmlformats.org/officeDocument/2006/relationships/hyperlink" Target="https://drive.google.com/file/d/1n5I0Ma79RgMhHA-TVLrZvLTX6-iUgB7z/view?usp=drive_link" TargetMode="External"/><Relationship Id="rId27" Type="http://schemas.openxmlformats.org/officeDocument/2006/relationships/hyperlink" Target="https://drive.google.com/file/d/1NBe4Nu8wZXQKhrTc4qmT4FFWq4mw1MQp/view?usp=drive_link" TargetMode="External"/><Relationship Id="rId29" Type="http://schemas.openxmlformats.org/officeDocument/2006/relationships/hyperlink" Target="https://drive.google.com/file/d/18sWr4sMHopSjXRE0KQgRHswI9bySBxXf/view?usp=drive_link" TargetMode="External"/><Relationship Id="rId11" Type="http://schemas.openxmlformats.org/officeDocument/2006/relationships/hyperlink" Target="https://drive.google.com/file/d/1M5mJwkk6tnvF8TZD9bfSVcTBiEYSMqB9/view?usp=drive_link" TargetMode="External"/><Relationship Id="rId10" Type="http://schemas.openxmlformats.org/officeDocument/2006/relationships/hyperlink" Target="https://drive.google.com/file/d/1m54H1jyBNhV8VSlVLzHLZonT7pLjJXJG/view?usp=drive_link" TargetMode="External"/><Relationship Id="rId13" Type="http://schemas.openxmlformats.org/officeDocument/2006/relationships/hyperlink" Target="https://drive.google.com/file/d/1YfW6PobEyv9uVpt48GYv6PVkd3SndjmF/view?usp=drive_link" TargetMode="External"/><Relationship Id="rId12" Type="http://schemas.openxmlformats.org/officeDocument/2006/relationships/hyperlink" Target="https://drive.google.com/file/d/1S49pU0urzJS_Ht2pjFy6Mv7FLHYDc9qV/view?usp=drive_link" TargetMode="External"/><Relationship Id="rId15" Type="http://schemas.openxmlformats.org/officeDocument/2006/relationships/hyperlink" Target="https://drive.google.com/open?id=1JyKmR43kNB5dlO_I18z2IaNJNkxddK4_" TargetMode="External"/><Relationship Id="rId198" Type="http://schemas.openxmlformats.org/officeDocument/2006/relationships/hyperlink" Target="https://drive.google.com/file/d/13MPYmp7t443ZG6BdfOltx3hwOTK177b2/view?usp=drive_link" TargetMode="External"/><Relationship Id="rId14" Type="http://schemas.openxmlformats.org/officeDocument/2006/relationships/hyperlink" Target="https://drive.google.com/file/d/1ikmkfAPtlPsAayyDUlW3Aj4XXRI3tR_w/view?usp=drive_link" TargetMode="External"/><Relationship Id="rId197" Type="http://schemas.openxmlformats.org/officeDocument/2006/relationships/hyperlink" Target="https://drive.google.com/file/d/1fEa3J9fXDbxqQaFH7kvj216NVeKV72D0/view?usp=drive_link" TargetMode="External"/><Relationship Id="rId17" Type="http://schemas.openxmlformats.org/officeDocument/2006/relationships/hyperlink" Target="https://drive.google.com/file/d/1lDNPLLq060jHv1nXsQtN5V1i1V6MIBq3/view?usp=drive_link" TargetMode="External"/><Relationship Id="rId196" Type="http://schemas.openxmlformats.org/officeDocument/2006/relationships/hyperlink" Target="https://drive.google.com/file/d/1bXt_vclDVL0IAt2Y05F8PonRxocJIqZ2/view?usp=drive_link" TargetMode="External"/><Relationship Id="rId16" Type="http://schemas.openxmlformats.org/officeDocument/2006/relationships/hyperlink" Target="https://drive.google.com/file/d/1rD2NG17jQt4oXdgyyyrRgzE3rYXTWJw_/view?usp=drive_link" TargetMode="External"/><Relationship Id="rId195" Type="http://schemas.openxmlformats.org/officeDocument/2006/relationships/hyperlink" Target="https://drive.google.com/file/d/1178QW9wgxeEJr58H835ux-SsZsJnxZeL/view?usp=drive_link" TargetMode="External"/><Relationship Id="rId19" Type="http://schemas.openxmlformats.org/officeDocument/2006/relationships/hyperlink" Target="https://drive.google.com/file/d/1tpnKnk1bCg1gfmLipTvLZGm5LVXPPx5x/view?usp=drive_link" TargetMode="External"/><Relationship Id="rId18" Type="http://schemas.openxmlformats.org/officeDocument/2006/relationships/hyperlink" Target="https://drive.google.com/file/d/1pI1dqkpT1JL7ja10DkX-DeccrmCMx1vK/view?usp=drive_link" TargetMode="External"/><Relationship Id="rId199" Type="http://schemas.openxmlformats.org/officeDocument/2006/relationships/hyperlink" Target="https://drive.google.com/file/d/1Gfvuwwafei1BHKcwkQuNly4LH5ESOObl/view?usp=drive_link" TargetMode="External"/><Relationship Id="rId84" Type="http://schemas.openxmlformats.org/officeDocument/2006/relationships/hyperlink" Target="https://drive.google.com/file/d/1SJWB9nIA75176lE2CRcksf32Id57y_mK/view?usp=drive_link" TargetMode="External"/><Relationship Id="rId83" Type="http://schemas.openxmlformats.org/officeDocument/2006/relationships/hyperlink" Target="https://drive.google.com/file/d/1d3v53vZMKHg4xJn8W90cscKGXwCSVuFy/view?usp=drive_link" TargetMode="External"/><Relationship Id="rId86" Type="http://schemas.openxmlformats.org/officeDocument/2006/relationships/hyperlink" Target="https://drive.google.com/file/d/1dbJ6QDXk8ieBVzE78vrC9JyRusR-w9oM/view?usp=drive_link" TargetMode="External"/><Relationship Id="rId85" Type="http://schemas.openxmlformats.org/officeDocument/2006/relationships/hyperlink" Target="https://drive.google.com/file/d/1WHcsLKUx6lmOKnYvYSanGGZ3R0N33osf/view?usp=drive_link" TargetMode="External"/><Relationship Id="rId88" Type="http://schemas.openxmlformats.org/officeDocument/2006/relationships/hyperlink" Target="https://drive.google.com/open?id=1PgrqTLdiXya9j2RrMnKrPrskLO5Wa074" TargetMode="External"/><Relationship Id="rId150" Type="http://schemas.openxmlformats.org/officeDocument/2006/relationships/hyperlink" Target="https://drive.google.com/file/d/11NSlJQrkdRokZaFmrSdWT8M3smCohGTF/view?usp=drive_link" TargetMode="External"/><Relationship Id="rId271" Type="http://schemas.openxmlformats.org/officeDocument/2006/relationships/hyperlink" Target="https://drive.google.com/file/d/1-dTQxkOkXw3-fMXrVIeKxcI83m7fHyRm/view?usp=drive_link" TargetMode="External"/><Relationship Id="rId87" Type="http://schemas.openxmlformats.org/officeDocument/2006/relationships/hyperlink" Target="https://drive.google.com/file/d/1YVsFbyH9LKAclkrxQFx4dwEBOYNGoftZ/view?usp=drive_link" TargetMode="External"/><Relationship Id="rId270" Type="http://schemas.openxmlformats.org/officeDocument/2006/relationships/hyperlink" Target="https://drive.google.com/file/d/1I-Qhl9Ck1CvSdygSf1jujH9lbWANvJzS/view?usp=drive_link" TargetMode="External"/><Relationship Id="rId89" Type="http://schemas.openxmlformats.org/officeDocument/2006/relationships/hyperlink" Target="https://drive.google.com/file/d/1RE-JM3xL5w8YM48vwjqAdfC2f8ixODQG/view?usp=drive_link" TargetMode="External"/><Relationship Id="rId80" Type="http://schemas.openxmlformats.org/officeDocument/2006/relationships/hyperlink" Target="https://drive.google.com/file/d/13pUVZSmvQMlUHkh8zMNPGXyrUKNT6r62/view?usp=drive_link" TargetMode="External"/><Relationship Id="rId82" Type="http://schemas.openxmlformats.org/officeDocument/2006/relationships/hyperlink" Target="https://drive.google.com/file/d/19xipR0HJiPcAvGbeP2A1qwG7Z6EXuEOc/view?usp=drive_link" TargetMode="External"/><Relationship Id="rId81" Type="http://schemas.openxmlformats.org/officeDocument/2006/relationships/hyperlink" Target="https://drive.google.com/file/d/17VH_mz4iw0CoeIMcDB8aa3WJamD8oE3U/view?usp=drive_link" TargetMode="External"/><Relationship Id="rId1" Type="http://schemas.openxmlformats.org/officeDocument/2006/relationships/hyperlink" Target="https://drive.google.com/file/d/1DdKRl18J2QwtzrQO4h1eloQyiNbwU6u7/view?usp=sharing" TargetMode="External"/><Relationship Id="rId2" Type="http://schemas.openxmlformats.org/officeDocument/2006/relationships/hyperlink" Target="https://drive.google.com/file/d/1j5vRepveXAirePtUJGhK74Wuyr-An6DR/view?usp=drive_link" TargetMode="External"/><Relationship Id="rId3" Type="http://schemas.openxmlformats.org/officeDocument/2006/relationships/hyperlink" Target="https://drive.google.com/file/d/1AfE_YWvNev5AogofXvKKQW93Vv6hzL4r/view?usp=drive_link" TargetMode="External"/><Relationship Id="rId149" Type="http://schemas.openxmlformats.org/officeDocument/2006/relationships/hyperlink" Target="https://drive.google.com/file/d/1gdD3cVt71cBPF2ZYDtppVUKMM56qzfHN/view?usp=drive_link" TargetMode="External"/><Relationship Id="rId4" Type="http://schemas.openxmlformats.org/officeDocument/2006/relationships/hyperlink" Target="https://drive.google.com/file/d/1ShXX4IcZruJ3yR0fFBpueCQU8p5lL5Xj/view?usp=drive_link" TargetMode="External"/><Relationship Id="rId148" Type="http://schemas.openxmlformats.org/officeDocument/2006/relationships/hyperlink" Target="https://drive.google.com/file/d/1s3IAUShiDTLQQO-QnqV44GTb78tbUxLA/view?usp=sharing" TargetMode="External"/><Relationship Id="rId269" Type="http://schemas.openxmlformats.org/officeDocument/2006/relationships/hyperlink" Target="https://drive.google.com/file/d/1nttINu5Tnxi7goZliMNn2_jXSAvYIpPJ/view?usp=drive_link" TargetMode="External"/><Relationship Id="rId9" Type="http://schemas.openxmlformats.org/officeDocument/2006/relationships/hyperlink" Target="https://drive.google.com/file/d/1ozk6syeIV0Ue0FEXudgvKrE1DQYpwCUP/view?usp=drive_link" TargetMode="External"/><Relationship Id="rId143" Type="http://schemas.openxmlformats.org/officeDocument/2006/relationships/hyperlink" Target="https://drive.google.com/file/d/1H4fv_OCpnLc5mAMb4sSdFardJFjQEWrb/view?usp=drive_link" TargetMode="External"/><Relationship Id="rId264" Type="http://schemas.openxmlformats.org/officeDocument/2006/relationships/hyperlink" Target="https://drive.google.com/open?id=1MzFgy8_B4ZQ8n6XKO9uhli_8a7unbPQL" TargetMode="External"/><Relationship Id="rId142" Type="http://schemas.openxmlformats.org/officeDocument/2006/relationships/hyperlink" Target="https://drive.google.com/file/d/149yHr7w-ftZef3MSwo7XwwEAuwGJh1E2/view?usp=drive_link" TargetMode="External"/><Relationship Id="rId263" Type="http://schemas.openxmlformats.org/officeDocument/2006/relationships/hyperlink" Target="https://drive.google.com/file/d/1ygxwedOyTgJmStXYCugmmwMgT-1DsvN1/view?usp=drive_link" TargetMode="External"/><Relationship Id="rId141" Type="http://schemas.openxmlformats.org/officeDocument/2006/relationships/hyperlink" Target="https://drive.google.com/file/d/16dTHQ91GttoM6Oo_0Qee4c-hoA6v1lPU/view?usp=drive_link" TargetMode="External"/><Relationship Id="rId262" Type="http://schemas.openxmlformats.org/officeDocument/2006/relationships/hyperlink" Target="https://drive.google.com/file/d/1c_xMUTC2D_Kq16zzoObZ0Ae4K7nRmh6y/view?usp=drive_link" TargetMode="External"/><Relationship Id="rId140" Type="http://schemas.openxmlformats.org/officeDocument/2006/relationships/hyperlink" Target="https://drive.google.com/file/d/1ST40V_gYLA9qpoT6jdDOBzT3bmwXdSug/view?usp=drive_link" TargetMode="External"/><Relationship Id="rId261" Type="http://schemas.openxmlformats.org/officeDocument/2006/relationships/hyperlink" Target="https://drive.google.com/file/d/1XJl0yAW65MHMtrIeJWqClKPWRt940ap-/view?usp=drive_link" TargetMode="External"/><Relationship Id="rId5" Type="http://schemas.openxmlformats.org/officeDocument/2006/relationships/hyperlink" Target="https://drive.google.com/file/d/1ZfN2suCocxuoWple7vDu_Rbon5EIn9rv/view?usp=drive_link" TargetMode="External"/><Relationship Id="rId147" Type="http://schemas.openxmlformats.org/officeDocument/2006/relationships/hyperlink" Target="https://drive.google.com/file/d/1zbRPXoqX8E4oL5yDBDrikKHJk40CFOID/view?usp=drive_link" TargetMode="External"/><Relationship Id="rId268" Type="http://schemas.openxmlformats.org/officeDocument/2006/relationships/hyperlink" Target="https://drive.google.com/file/d/12ObZkyk6h24YKJDvLfJx2lMTknk0DVGP/view?usp=drive_link" TargetMode="External"/><Relationship Id="rId6" Type="http://schemas.openxmlformats.org/officeDocument/2006/relationships/hyperlink" Target="https://drive.google.com/file/d/15fYRttBMYwkTcbDsGTXW3_Y5qNQiUHv0/view?usp=drive_link" TargetMode="External"/><Relationship Id="rId146" Type="http://schemas.openxmlformats.org/officeDocument/2006/relationships/hyperlink" Target="https://drive.google.com/file/d/1IGKz8gXULpzBdA381iuDOK0lN2NFPqs0/view?usp=sharing" TargetMode="External"/><Relationship Id="rId267" Type="http://schemas.openxmlformats.org/officeDocument/2006/relationships/hyperlink" Target="https://drive.google.com/file/d/1pmXVgvtfPVNCbv2MC3bZdXCnSwhFQ8CK/view?usp=drive_link" TargetMode="External"/><Relationship Id="rId7" Type="http://schemas.openxmlformats.org/officeDocument/2006/relationships/hyperlink" Target="https://drive.google.com/file/d/1dGt-dAh6UeLitst0kRlyq4m298F47PLJ/view?usp=drive_link" TargetMode="External"/><Relationship Id="rId145" Type="http://schemas.openxmlformats.org/officeDocument/2006/relationships/hyperlink" Target="https://drive.google.com/file/d/1kenqPoQZ6nRy_nWZc_ZmC_jxs_nZWQTN/view?usp=drive_link" TargetMode="External"/><Relationship Id="rId266" Type="http://schemas.openxmlformats.org/officeDocument/2006/relationships/hyperlink" Target="https://drive.google.com/file/d/15TGXkl_WuOPltKUWpx95uojBXzOCnbCg/view?usp=drive_link" TargetMode="External"/><Relationship Id="rId8" Type="http://schemas.openxmlformats.org/officeDocument/2006/relationships/hyperlink" Target="https://drive.google.com/file/d/1HzB9_yDC_nk3tX5uFx30Xc8KC-KQcBDI/view?usp=drive_link" TargetMode="External"/><Relationship Id="rId144" Type="http://schemas.openxmlformats.org/officeDocument/2006/relationships/hyperlink" Target="https://drive.google.com/file/d/1vFbuBquuye-oZ25tmrMd0Odzqp-I5SPS/view?usp=sharing" TargetMode="External"/><Relationship Id="rId265" Type="http://schemas.openxmlformats.org/officeDocument/2006/relationships/hyperlink" Target="https://drive.google.com/file/d/1hQZg95U8uJQOoqrQhkaCeikkpylW0pf8/view?usp=drive_link" TargetMode="External"/><Relationship Id="rId73" Type="http://schemas.openxmlformats.org/officeDocument/2006/relationships/hyperlink" Target="https://drive.google.com/file/d/1q3yskkK5kAQI2XELPH02C203AmgNkggI/view?usp=drive_link" TargetMode="External"/><Relationship Id="rId72" Type="http://schemas.openxmlformats.org/officeDocument/2006/relationships/hyperlink" Target="https://drive.google.com/file/d/1S9ikHVPfKw5Vjsj2r6cyu9V9eDUgoH6k/view?usp=drive_link" TargetMode="External"/><Relationship Id="rId75" Type="http://schemas.openxmlformats.org/officeDocument/2006/relationships/hyperlink" Target="https://drive.google.com/file/d/1IPP2dG8BcIimkKe_ETMfSdMCoEFgtT7F/view?usp=drive_link" TargetMode="External"/><Relationship Id="rId74" Type="http://schemas.openxmlformats.org/officeDocument/2006/relationships/hyperlink" Target="https://drive.google.com/file/d/12U01qjJ7DYbmIbLEsZdbF5UKTzhcdfBw/view?usp=drive_link" TargetMode="External"/><Relationship Id="rId77" Type="http://schemas.openxmlformats.org/officeDocument/2006/relationships/hyperlink" Target="https://drive.google.com/file/d/1fUN48br2kZrSeKZz-qAdMrGsvtIE7pgn/view?usp=drive_link" TargetMode="External"/><Relationship Id="rId260" Type="http://schemas.openxmlformats.org/officeDocument/2006/relationships/hyperlink" Target="https://drive.google.com/drive/folders/1B7Vlibfr1bFpL_LEf1jVe146Ink9wt76?usp=drive_link" TargetMode="External"/><Relationship Id="rId76" Type="http://schemas.openxmlformats.org/officeDocument/2006/relationships/hyperlink" Target="https://drive.google.com/file/d/1ZDDnhZm1jQC-HBa6EtO0bqLq6AZgV8mI/view?usp=drive_link" TargetMode="External"/><Relationship Id="rId79" Type="http://schemas.openxmlformats.org/officeDocument/2006/relationships/hyperlink" Target="https://drive.google.com/file/d/1A4EGKKklApyX2UCPkFMisS7pSvGhqBDY/view?usp=drive_link" TargetMode="External"/><Relationship Id="rId78" Type="http://schemas.openxmlformats.org/officeDocument/2006/relationships/hyperlink" Target="https://drive.google.com/file/d/1PE815bCCiiBh9qeaNFesWVtXFkc50Nki/view?usp=drive_link" TargetMode="External"/><Relationship Id="rId71" Type="http://schemas.openxmlformats.org/officeDocument/2006/relationships/hyperlink" Target="https://drive.google.com/file/d/1Cs8GVoM9v5AaRv_tFWMmYC31HhfMzs9H/view?usp=drive_link" TargetMode="External"/><Relationship Id="rId70" Type="http://schemas.openxmlformats.org/officeDocument/2006/relationships/hyperlink" Target="https://drive.google.com/file/d/1zRbp45vrOHGe0iul8fu5jIsHRpIu2Yt7/view?usp=drive_link" TargetMode="External"/><Relationship Id="rId139" Type="http://schemas.openxmlformats.org/officeDocument/2006/relationships/hyperlink" Target="https://drive.google.com/file/d/1Zyl3er20C8rtp0Ftk4jtD2aoARs1zyFV/view?usp=drive_link" TargetMode="External"/><Relationship Id="rId138" Type="http://schemas.openxmlformats.org/officeDocument/2006/relationships/hyperlink" Target="https://drive.google.com/open?id=1ArXDvOWFiTahfTWJf1YElCmPpm7zuGV0" TargetMode="External"/><Relationship Id="rId259" Type="http://schemas.openxmlformats.org/officeDocument/2006/relationships/hyperlink" Target="https://drive.google.com/file/d/19RYLXPqwP3Q0dJvVxA6lgqGs05HDx7JH/view?usp=drive_link" TargetMode="External"/><Relationship Id="rId137" Type="http://schemas.openxmlformats.org/officeDocument/2006/relationships/hyperlink" Target="https://drive.google.com/file/d/1ct7jHLQtff_0nnlH8FbF4S17S7tuBtzD/view?usp=drive_link" TargetMode="External"/><Relationship Id="rId258" Type="http://schemas.openxmlformats.org/officeDocument/2006/relationships/hyperlink" Target="https://drive.google.com/file/d/1U_E-l5jwhPaLwLLPewOfYls7EgFa1ufv/view?usp=sharing" TargetMode="External"/><Relationship Id="rId132" Type="http://schemas.openxmlformats.org/officeDocument/2006/relationships/hyperlink" Target="https://drive.google.com/open?id=1gYxXquexNBeal36jMq3WSkSNObhqknKy" TargetMode="External"/><Relationship Id="rId253" Type="http://schemas.openxmlformats.org/officeDocument/2006/relationships/hyperlink" Target="https://drive.google.com/file/d/1OqdTw9_Dawx3TSLoXYuhmdVxlY3zze1Y/view?usp=drive_link" TargetMode="External"/><Relationship Id="rId131" Type="http://schemas.openxmlformats.org/officeDocument/2006/relationships/hyperlink" Target="https://drive.google.com/file/d/13mrIByEsfxG7MvCilxt0c0n_nn7yGBZQ/view?usp=drive_link" TargetMode="External"/><Relationship Id="rId252" Type="http://schemas.openxmlformats.org/officeDocument/2006/relationships/hyperlink" Target="https://drive.google.com/file/d/1LswfdYWIWXBpgAQYwUPDh07mS3WfIqFx/view?usp=drive_link" TargetMode="External"/><Relationship Id="rId130" Type="http://schemas.openxmlformats.org/officeDocument/2006/relationships/hyperlink" Target="https://drive.google.com/open?id=1lT5KjrdgN-QIY9Lf_SHbYBtUiZACgjLH" TargetMode="External"/><Relationship Id="rId251" Type="http://schemas.openxmlformats.org/officeDocument/2006/relationships/hyperlink" Target="https://drive.google.com/file/d/1jYiQVFEs6FPJGnoKB0QZDGuWA-n8dPIU/view?usp=drive_link" TargetMode="External"/><Relationship Id="rId250" Type="http://schemas.openxmlformats.org/officeDocument/2006/relationships/hyperlink" Target="https://drive.google.com/open?id=1NN_BRDxITq_ChQHX_avptvHD839fop6V" TargetMode="External"/><Relationship Id="rId136" Type="http://schemas.openxmlformats.org/officeDocument/2006/relationships/hyperlink" Target="https://drive.google.com/open?id=1FzXOXeUIFPOwxc-SUYGI4wmaWQgCRZU1" TargetMode="External"/><Relationship Id="rId257" Type="http://schemas.openxmlformats.org/officeDocument/2006/relationships/hyperlink" Target="https://drive.google.com/file/d/1D8leYdwQE5oQcKO00N8aimFHUwJKe5BB/view?usp=drive_link" TargetMode="External"/><Relationship Id="rId135" Type="http://schemas.openxmlformats.org/officeDocument/2006/relationships/hyperlink" Target="https://drive.google.com/file/d/1DrrgGsVC1m3NJOw9IlM3D-nSQ9aZ2vAs/view?usp=drive_link" TargetMode="External"/><Relationship Id="rId256" Type="http://schemas.openxmlformats.org/officeDocument/2006/relationships/hyperlink" Target="https://drive.google.com/file/d/17g1CnN_TU4yArv1bVfwo0-fykRPWhXFB/view?usp=drive_link" TargetMode="External"/><Relationship Id="rId134" Type="http://schemas.openxmlformats.org/officeDocument/2006/relationships/hyperlink" Target="https://drive.google.com/open?id=1b2gkillwFQNYVr1a5nLziZs6JhagNiHn" TargetMode="External"/><Relationship Id="rId255" Type="http://schemas.openxmlformats.org/officeDocument/2006/relationships/hyperlink" Target="https://drive.google.com/file/d/104Qdo3OtTXd5dQszh9ht5IqgR-lSVqBp/view?usp=drive_link" TargetMode="External"/><Relationship Id="rId133" Type="http://schemas.openxmlformats.org/officeDocument/2006/relationships/hyperlink" Target="https://drive.google.com/file/d/1Lj0Rre1Z_gIPZ5es8yUbzU8ClKyQYYB5/view?usp=drive_link" TargetMode="External"/><Relationship Id="rId254" Type="http://schemas.openxmlformats.org/officeDocument/2006/relationships/hyperlink" Target="https://drive.google.com/file/d/14qat-UkcrJfZ_3Srt89GPnDq8rcpHXP_/view?usp=drive_link" TargetMode="External"/><Relationship Id="rId62" Type="http://schemas.openxmlformats.org/officeDocument/2006/relationships/hyperlink" Target="https://drive.google.com/file/d/1pbvsY8eJsgAtFybtUTCjo_wCwDAOlGa9/view?usp=drive_link" TargetMode="External"/><Relationship Id="rId61" Type="http://schemas.openxmlformats.org/officeDocument/2006/relationships/hyperlink" Target="https://drive.google.com/file/d/1IM_S0bow3EzSYT9nGg5la-SyRdjLZs9S/view?usp=drive_link" TargetMode="External"/><Relationship Id="rId64" Type="http://schemas.openxmlformats.org/officeDocument/2006/relationships/hyperlink" Target="https://drive.google.com/file/d/14XE_k2mD9dPLwC8DdbYsxniVf8xqNof-/view?usp=drive_link" TargetMode="External"/><Relationship Id="rId63" Type="http://schemas.openxmlformats.org/officeDocument/2006/relationships/hyperlink" Target="https://drive.google.com/file/d/1Al5YqR5ve6fLiTPA4_RjfgTJLyT8TPRs/view?usp=drive_link" TargetMode="External"/><Relationship Id="rId66" Type="http://schemas.openxmlformats.org/officeDocument/2006/relationships/hyperlink" Target="https://drive.google.com/file/d/1Tqqv2I_BTDm-S0M-c19PrIzn7cvRa4mw/view?usp=drive_link" TargetMode="External"/><Relationship Id="rId172" Type="http://schemas.openxmlformats.org/officeDocument/2006/relationships/hyperlink" Target="https://drive.google.com/file/d/13gnx2t3trnDCQPTv9idFeNR27gXHq5dn/view?usp=drive_link" TargetMode="External"/><Relationship Id="rId293" Type="http://schemas.openxmlformats.org/officeDocument/2006/relationships/hyperlink" Target="https://drive.google.com/file/d/1vA29_cs479Dob05f8G0X1i4PgrnELQI6/view?usp=drive_link" TargetMode="External"/><Relationship Id="rId65" Type="http://schemas.openxmlformats.org/officeDocument/2006/relationships/hyperlink" Target="https://drive.google.com/file/d/1sW6e68t7NY9VTf-3reqfal9olsryYmRh/view?usp=drive_link" TargetMode="External"/><Relationship Id="rId171" Type="http://schemas.openxmlformats.org/officeDocument/2006/relationships/hyperlink" Target="https://drive.google.com/file/d/1YCeiGFqfEhZEcghD5SObl5iRDk0dxMw7/view?usp=drive_link" TargetMode="External"/><Relationship Id="rId292" Type="http://schemas.openxmlformats.org/officeDocument/2006/relationships/hyperlink" Target="https://drive.google.com/file/d/1BnRfRydfp4KrrEx1mdoIxDDHua6JQ5Hg/view?usp=drive_link" TargetMode="External"/><Relationship Id="rId68" Type="http://schemas.openxmlformats.org/officeDocument/2006/relationships/hyperlink" Target="https://drive.google.com/file/d/1-3wxipAd_ICqM1sfvN39ORdkYRgauGTw/view?usp=drive_link" TargetMode="External"/><Relationship Id="rId170" Type="http://schemas.openxmlformats.org/officeDocument/2006/relationships/hyperlink" Target="https://drive.google.com/file/d/1_61OeBm1JtQ5WopVZUcM21fk4fiN3JO6/view?usp=sharing" TargetMode="External"/><Relationship Id="rId291" Type="http://schemas.openxmlformats.org/officeDocument/2006/relationships/hyperlink" Target="https://drive.google.com/file/d/19P57vkhiyf4A888u-FqZ3oxbp7dpcPaw/view?usp=drive_link" TargetMode="External"/><Relationship Id="rId67" Type="http://schemas.openxmlformats.org/officeDocument/2006/relationships/hyperlink" Target="https://drive.google.com/file/d/1JFLCcjGAljdbn9gXMoVwcwUW8NMq_PFJ/view?usp=drive_link" TargetMode="External"/><Relationship Id="rId290" Type="http://schemas.openxmlformats.org/officeDocument/2006/relationships/hyperlink" Target="https://drive.google.com/file/d/1uxi0hcB7rw8a9dRtsz9JV-uD9Qsdg_Si/view?usp=sharing" TargetMode="External"/><Relationship Id="rId60" Type="http://schemas.openxmlformats.org/officeDocument/2006/relationships/hyperlink" Target="https://drive.google.com/file/d/1rPcrNAW8rNU_Ems-dC2ur4d5ycds2IVn/view?usp=drive_link" TargetMode="External"/><Relationship Id="rId165" Type="http://schemas.openxmlformats.org/officeDocument/2006/relationships/hyperlink" Target="https://drive.google.com/file/d/1iqproOM4ekT-49OqAFZiSyfGhul3Lofv/view?usp=drive_link" TargetMode="External"/><Relationship Id="rId286" Type="http://schemas.openxmlformats.org/officeDocument/2006/relationships/hyperlink" Target="https://drive.google.com/file/d/1xcMyBMvoyhV0q2mb2pNPIrzkih9fblAE/view?usp=drive_link" TargetMode="External"/><Relationship Id="rId69" Type="http://schemas.openxmlformats.org/officeDocument/2006/relationships/hyperlink" Target="https://drive.google.com/file/d/1dTNqSdc5afQIUqSd6SDyxGwLC4kGlQEp/view?usp=drive_link" TargetMode="External"/><Relationship Id="rId164" Type="http://schemas.openxmlformats.org/officeDocument/2006/relationships/hyperlink" Target="https://drive.google.com/file/d/15aZxMqyZwGAaHTDXcNu06_Ni_a4q2Kyu/view?usp=drive_link" TargetMode="External"/><Relationship Id="rId285" Type="http://schemas.openxmlformats.org/officeDocument/2006/relationships/hyperlink" Target="https://drive.google.com/file/d/181V24ub3XpT0exI8VmwHXZYfrzrtd-Ts/view?usp=drive_link" TargetMode="External"/><Relationship Id="rId163" Type="http://schemas.openxmlformats.org/officeDocument/2006/relationships/hyperlink" Target="https://drive.google.com/file/d/18rdNSfv62IeY5w7mu335tSJQacYHPBcX/view?usp=drive_link" TargetMode="External"/><Relationship Id="rId284" Type="http://schemas.openxmlformats.org/officeDocument/2006/relationships/hyperlink" Target="https://drive.google.com/file/d/1QboQY5psdkLqzOy9ARmYjODrgoB8FZvp/view?usp=drive_link" TargetMode="External"/><Relationship Id="rId162" Type="http://schemas.openxmlformats.org/officeDocument/2006/relationships/hyperlink" Target="https://drive.google.com/file/d/1pOvYrWYaiTuXYR-RhkLwv4GrUz9UuBHa/view?usp=sharing" TargetMode="External"/><Relationship Id="rId283" Type="http://schemas.openxmlformats.org/officeDocument/2006/relationships/hyperlink" Target="https://drive.google.com/file/d/1YgqoYw0D69ahPMsE_PV7T26wcj31dGef/view?usp=drive_link" TargetMode="External"/><Relationship Id="rId169" Type="http://schemas.openxmlformats.org/officeDocument/2006/relationships/hyperlink" Target="https://drive.google.com/file/d/1HqI7I-Vx7ZxiePtKPda1znvZDfxEIqGg/view?usp=drive_link" TargetMode="External"/><Relationship Id="rId168" Type="http://schemas.openxmlformats.org/officeDocument/2006/relationships/hyperlink" Target="https://drive.google.com/file/d/1sEHNaXpzKOWAJoU0MmwDvq8Gja1ULoEa/view?usp=drive_link" TargetMode="External"/><Relationship Id="rId289" Type="http://schemas.openxmlformats.org/officeDocument/2006/relationships/hyperlink" Target="https://drive.google.com/file/d/1nvRCuK4DS3yA7owL2Io37Fd7Gk-PVTfh/view?usp=drive_link" TargetMode="External"/><Relationship Id="rId167" Type="http://schemas.openxmlformats.org/officeDocument/2006/relationships/hyperlink" Target="https://drive.google.com/file/d/1quwnz5tAVJDt_KIY8TnWC80j0oDVpuR2/view?usp=sharing" TargetMode="External"/><Relationship Id="rId288" Type="http://schemas.openxmlformats.org/officeDocument/2006/relationships/hyperlink" Target="https://drive.google.com/file/d/1U5AXLnhGBUTk7MHbUWlkl95cFxDnpknH/view?usp=drive_link" TargetMode="External"/><Relationship Id="rId166" Type="http://schemas.openxmlformats.org/officeDocument/2006/relationships/hyperlink" Target="https://drive.google.com/file/d/18zRj25cLWIwiujLIaFuiclXQgI55bBpS/view?usp=drive_link" TargetMode="External"/><Relationship Id="rId287" Type="http://schemas.openxmlformats.org/officeDocument/2006/relationships/hyperlink" Target="https://drive.google.com/file/d/1SfOGFNZ8NsIt_FQlR8hG3mxjLeHSKmM3/view?usp=drive_link" TargetMode="External"/><Relationship Id="rId51" Type="http://schemas.openxmlformats.org/officeDocument/2006/relationships/hyperlink" Target="https://drive.google.com/file/d/1MTSlAXx9_pcYmg2fEQzhYzNnYEMzZOQe/view?usp=drive_link" TargetMode="External"/><Relationship Id="rId50" Type="http://schemas.openxmlformats.org/officeDocument/2006/relationships/hyperlink" Target="https://drive.google.com/file/d/1Fxb3_5Us98a_Yx4EmAJS8XaTN-LPb9UK/view?usp=drive_link" TargetMode="External"/><Relationship Id="rId53" Type="http://schemas.openxmlformats.org/officeDocument/2006/relationships/hyperlink" Target="https://drive.google.com/file/d/1imnLgZJfoRGjZ-lYpNsefGSNK2rUleFe/view?usp=drive_link" TargetMode="External"/><Relationship Id="rId52" Type="http://schemas.openxmlformats.org/officeDocument/2006/relationships/hyperlink" Target="https://drive.google.com/file/d/17NhN6YHTpkYN460kIXgadRQwtVlrE60X/view?usp=drive_link" TargetMode="External"/><Relationship Id="rId55" Type="http://schemas.openxmlformats.org/officeDocument/2006/relationships/hyperlink" Target="https://drive.google.com/file/d/1Nvay6PZdCTkvYxWc_ftXGrN2pNWsq8xu/view?usp=drive_link" TargetMode="External"/><Relationship Id="rId161" Type="http://schemas.openxmlformats.org/officeDocument/2006/relationships/hyperlink" Target="https://drive.google.com/file/d/1wiDiWgGRJSznPD2FN892SKGa3m96zQ9u/view?usp=drive_link" TargetMode="External"/><Relationship Id="rId282" Type="http://schemas.openxmlformats.org/officeDocument/2006/relationships/hyperlink" Target="https://drive.google.com/file/d/1JlzXgmZaMKh94HLrlM_OfOSxPdfB4zlz/view?usp=sharing" TargetMode="External"/><Relationship Id="rId54" Type="http://schemas.openxmlformats.org/officeDocument/2006/relationships/hyperlink" Target="https://drive.google.com/file/d/1fe46woaLI4ud8qugB5uBUuQ5fZasNhlC/view?usp=drive_link" TargetMode="External"/><Relationship Id="rId160" Type="http://schemas.openxmlformats.org/officeDocument/2006/relationships/hyperlink" Target="https://drive.google.com/file/d/1KSq_bq0QCpUXwbh6WRYw8FdCmQ3m7bvH/view?usp=sharing" TargetMode="External"/><Relationship Id="rId281" Type="http://schemas.openxmlformats.org/officeDocument/2006/relationships/hyperlink" Target="https://drive.google.com/file/d/1Tu7OXoy0qy1t-R0UYPa9Cd1Or7_H9Ak9/view?usp=drive_link" TargetMode="External"/><Relationship Id="rId57" Type="http://schemas.openxmlformats.org/officeDocument/2006/relationships/hyperlink" Target="https://drive.google.com/file/d/1oTQokXMBOpZXZfwTEnL85jv3kLXKAM6Q/view?usp=drive_link" TargetMode="External"/><Relationship Id="rId280" Type="http://schemas.openxmlformats.org/officeDocument/2006/relationships/hyperlink" Target="https://drive.google.com/open?id=1Dt-lmZ5AlO6DOjRXWW4Z9CtSpkuEPV12" TargetMode="External"/><Relationship Id="rId56" Type="http://schemas.openxmlformats.org/officeDocument/2006/relationships/hyperlink" Target="https://drive.google.com/file/d/1K04vVPmwq_ndk8fuHABTMq7afz9vIXiI/view?usp=drive_link" TargetMode="External"/><Relationship Id="rId159" Type="http://schemas.openxmlformats.org/officeDocument/2006/relationships/hyperlink" Target="https://drive.google.com/file/d/1Gqv85R5AcUCouIKvftrV8WJSldx6m2iP/view?usp=drive_link" TargetMode="External"/><Relationship Id="rId59" Type="http://schemas.openxmlformats.org/officeDocument/2006/relationships/hyperlink" Target="https://drive.google.com/file/d/1iE-lO8JJLNSPI7_dCMI8fh65GhMGamNo/view?usp=drive_link" TargetMode="External"/><Relationship Id="rId154" Type="http://schemas.openxmlformats.org/officeDocument/2006/relationships/hyperlink" Target="https://drive.google.com/file/d/1nLqaPW1K5ZJvYemC4c5g94AjNLvNs6kr/view?usp=drive_link" TargetMode="External"/><Relationship Id="rId275" Type="http://schemas.openxmlformats.org/officeDocument/2006/relationships/hyperlink" Target="https://drive.google.com/file/d/1ycKlkoDrSp1nFocGxFrADH_oXXp0WJXw/view?usp=drive_link" TargetMode="External"/><Relationship Id="rId58" Type="http://schemas.openxmlformats.org/officeDocument/2006/relationships/hyperlink" Target="https://drive.google.com/file/d/1A4YZSFZMNuM1cMNUkuIa4nYFe20ID85L/view?usp=drive_link" TargetMode="External"/><Relationship Id="rId153" Type="http://schemas.openxmlformats.org/officeDocument/2006/relationships/hyperlink" Target="https://drive.google.com/file/d/1nz_RULIyAveWiG3sOqV9q2W5PAgVSm4N/view?usp=drive_link" TargetMode="External"/><Relationship Id="rId274" Type="http://schemas.openxmlformats.org/officeDocument/2006/relationships/hyperlink" Target="https://drive.google.com/open?id=1t79_veZXWi5abRmPQf3KERDbfteZWoT6" TargetMode="External"/><Relationship Id="rId152" Type="http://schemas.openxmlformats.org/officeDocument/2006/relationships/hyperlink" Target="https://drive.google.com/file/d/1pnjhT-bzmmYAaG1mXNTConiQnhIWyuUc/view?usp=drive_link" TargetMode="External"/><Relationship Id="rId273" Type="http://schemas.openxmlformats.org/officeDocument/2006/relationships/hyperlink" Target="https://drive.google.com/file/d/1jPUChBVn8xJCp8SGymyigOgOF0iKrRNR/view?usp=drive_link" TargetMode="External"/><Relationship Id="rId151" Type="http://schemas.openxmlformats.org/officeDocument/2006/relationships/hyperlink" Target="https://drive.google.com/file/d/1upv88ZyE90oiI66Vst6NMS_MgD8YZxE_/view?usp=drive_link" TargetMode="External"/><Relationship Id="rId272" Type="http://schemas.openxmlformats.org/officeDocument/2006/relationships/hyperlink" Target="https://drive.google.com/file/d/1eWZGdOGrYqE5N-wUkwSaERtC8vYpFkxf/view?usp=drive_link" TargetMode="External"/><Relationship Id="rId158" Type="http://schemas.openxmlformats.org/officeDocument/2006/relationships/hyperlink" Target="https://drive.google.com/file/d/1Zhso15JolLx2-WVeik_aphLbqiMi0jsv/view?usp=sharing" TargetMode="External"/><Relationship Id="rId279" Type="http://schemas.openxmlformats.org/officeDocument/2006/relationships/hyperlink" Target="https://drive.google.com/file/d/1K6YUrYJkrw9S6sCSkAvd3vGCKbknGBCs/view?usp=drive_link" TargetMode="External"/><Relationship Id="rId157" Type="http://schemas.openxmlformats.org/officeDocument/2006/relationships/hyperlink" Target="https://drive.google.com/file/d/1nf8Y6fYIUpZuhPT8fVrszcd79Gnyeb6f/view?usp=drive_link" TargetMode="External"/><Relationship Id="rId278" Type="http://schemas.openxmlformats.org/officeDocument/2006/relationships/hyperlink" Target="https://drive.google.com/open?id=1Zn_acBkl0d6BKMZogk6gUGF0RWsjlABE" TargetMode="External"/><Relationship Id="rId156" Type="http://schemas.openxmlformats.org/officeDocument/2006/relationships/hyperlink" Target="https://drive.google.com/file/d/1bC7b-aHnRhPXdV-ymRQmet8zwgEZmoah/view?usp=sharing" TargetMode="External"/><Relationship Id="rId277" Type="http://schemas.openxmlformats.org/officeDocument/2006/relationships/hyperlink" Target="https://drive.google.com/file/d/1ON6zCYZAafLVYkPZ2mC1raz2eARd75hB/view?usp=drive_link" TargetMode="External"/><Relationship Id="rId155" Type="http://schemas.openxmlformats.org/officeDocument/2006/relationships/hyperlink" Target="https://drive.google.com/file/d/1FsErgxjhBzNZ-MXFHWorsYXrbHOaeRnn/view?usp=drive_link" TargetMode="External"/><Relationship Id="rId276" Type="http://schemas.openxmlformats.org/officeDocument/2006/relationships/hyperlink" Target="https://drive.google.com/open?id=1J5GhZg4JQDfOftshI4pDpkmD1xWW-cbY" TargetMode="External"/><Relationship Id="rId107" Type="http://schemas.openxmlformats.org/officeDocument/2006/relationships/hyperlink" Target="https://drive.google.com/file/d/1tgodK7eNifySzlIny3VHWN67Yg13DjVk/view?usp=drive_link" TargetMode="External"/><Relationship Id="rId228" Type="http://schemas.openxmlformats.org/officeDocument/2006/relationships/hyperlink" Target="https://drive.google.com/file/d/19BuBvbnkK5Y4wwTl0mRFXye6h-6iEmyj/view?usp=drive_link" TargetMode="External"/><Relationship Id="rId106" Type="http://schemas.openxmlformats.org/officeDocument/2006/relationships/hyperlink" Target="https://drive.google.com/open?id=15Mj9UuAB2KIH6fBdJq1A5XlkbZGYFPTN" TargetMode="External"/><Relationship Id="rId227" Type="http://schemas.openxmlformats.org/officeDocument/2006/relationships/hyperlink" Target="https://drive.google.com/file/d/1AqW6t2z_7avwSoLSW1zG6TuBDtLTi4W4/view?usp=drive_link" TargetMode="External"/><Relationship Id="rId105" Type="http://schemas.openxmlformats.org/officeDocument/2006/relationships/hyperlink" Target="https://drive.google.com/file/d/1csC5sO52XuMByhWWzuefQ1pQv4VO6YMz/view?usp=drive_link" TargetMode="External"/><Relationship Id="rId226" Type="http://schemas.openxmlformats.org/officeDocument/2006/relationships/hyperlink" Target="https://drive.google.com/file/d/1QVFEpLVD7b_oI2k1_Q4zNEfRO0ZQB_K4/view?usp=drive_link" TargetMode="External"/><Relationship Id="rId104" Type="http://schemas.openxmlformats.org/officeDocument/2006/relationships/hyperlink" Target="https://drive.google.com/open?id=1V7pTLcVFeXpJvcOGK8tO0TGnbVM1eHY_" TargetMode="External"/><Relationship Id="rId225" Type="http://schemas.openxmlformats.org/officeDocument/2006/relationships/hyperlink" Target="https://drive.google.com/file/d/1BYm0QFOyODbUmzaBJJhXWOHLsTJskZV1/view?usp=drive_link" TargetMode="External"/><Relationship Id="rId109" Type="http://schemas.openxmlformats.org/officeDocument/2006/relationships/hyperlink" Target="https://drive.google.com/file/d/1-qb1vF-7qnAzyNhAKg3R9E7cWurwKTj7/view?usp=drive_link" TargetMode="External"/><Relationship Id="rId108" Type="http://schemas.openxmlformats.org/officeDocument/2006/relationships/hyperlink" Target="https://drive.google.com/open?id=1TApRGw58W5_bi4xi-YvO1trZ_DdNlzzw" TargetMode="External"/><Relationship Id="rId229" Type="http://schemas.openxmlformats.org/officeDocument/2006/relationships/hyperlink" Target="https://drive.google.com/file/d/1lHdJKNG2FW6OaPiX1ogzYAkVDDCaEzSE/view?usp=drive_link" TargetMode="External"/><Relationship Id="rId220" Type="http://schemas.openxmlformats.org/officeDocument/2006/relationships/hyperlink" Target="https://drive.google.com/file/d/1eaAcz8lNC9zfnljcrtykbI02Jhuiudyw/view?usp=drive_link" TargetMode="External"/><Relationship Id="rId103" Type="http://schemas.openxmlformats.org/officeDocument/2006/relationships/hyperlink" Target="https://drive.google.com/file/d/18vPo59uXlvO4eJJYcVDIseMWOwRY5Xjj/view?usp=drive_link" TargetMode="External"/><Relationship Id="rId224" Type="http://schemas.openxmlformats.org/officeDocument/2006/relationships/hyperlink" Target="https://drive.google.com/file/d/1XI2rVhxARRA5-usFx0tKFRngIBcYbQKf/view?usp=drive_link" TargetMode="External"/><Relationship Id="rId102" Type="http://schemas.openxmlformats.org/officeDocument/2006/relationships/hyperlink" Target="https://drive.google.com/open?id=16Q94uPK6g8CrrjjM2f6fsjcx0sTNn8M2" TargetMode="External"/><Relationship Id="rId223" Type="http://schemas.openxmlformats.org/officeDocument/2006/relationships/hyperlink" Target="https://drive.google.com/file/d/1k17m32cQmHYnbf8tFbwfVEUWD9CQgGaq/view?usp=drive_link" TargetMode="External"/><Relationship Id="rId101" Type="http://schemas.openxmlformats.org/officeDocument/2006/relationships/hyperlink" Target="https://drive.google.com/file/d/1ueozXIrdTqFXULQICnAjUqvtofS__5m1/view?usp=drive_link" TargetMode="External"/><Relationship Id="rId222" Type="http://schemas.openxmlformats.org/officeDocument/2006/relationships/hyperlink" Target="https://drive.google.com/file/d/1VAeOerhz39xxEfZ2QFJ_akyr8S9GFJ-y/view?usp=drive_link" TargetMode="External"/><Relationship Id="rId100" Type="http://schemas.openxmlformats.org/officeDocument/2006/relationships/hyperlink" Target="https://drive.google.com/open?id=1lo0d8du8cLPMtwy-gg2iSjufEw9HYMYS" TargetMode="External"/><Relationship Id="rId221" Type="http://schemas.openxmlformats.org/officeDocument/2006/relationships/hyperlink" Target="https://drive.google.com/file/d/1hLyNHHgp9EbAdPQXR8GDLeh937mjBTIL/view?usp=drive_link" TargetMode="External"/><Relationship Id="rId217" Type="http://schemas.openxmlformats.org/officeDocument/2006/relationships/hyperlink" Target="https://drive.google.com/file/d/1uIs6Irgfy9eyLRq8bEgGs2lkbZE9FB_D/view?usp=drive_link" TargetMode="External"/><Relationship Id="rId216" Type="http://schemas.openxmlformats.org/officeDocument/2006/relationships/hyperlink" Target="https://drive.google.com/file/d/1wJWCeFtl16Smvd5iCnEqyNQZYE9i0t9H/view?usp=drive_link" TargetMode="External"/><Relationship Id="rId215" Type="http://schemas.openxmlformats.org/officeDocument/2006/relationships/hyperlink" Target="https://drive.google.com/file/d/13OTMQeHFmY2_w8at9gUoE0t5uI69T6Cv/view?usp=drive_link" TargetMode="External"/><Relationship Id="rId214" Type="http://schemas.openxmlformats.org/officeDocument/2006/relationships/hyperlink" Target="https://drive.google.com/file/d/1gKdOXFO4cyxd7mqPcX60TOIMR5adn5Wr/view?usp=drive_link" TargetMode="External"/><Relationship Id="rId219" Type="http://schemas.openxmlformats.org/officeDocument/2006/relationships/hyperlink" Target="https://drive.google.com/file/d/1ZntW8FoHUvI_hYO4wDopq4Xg_hyYVSw7/view?usp=drive_link" TargetMode="External"/><Relationship Id="rId218" Type="http://schemas.openxmlformats.org/officeDocument/2006/relationships/hyperlink" Target="https://drive.google.com/file/d/1uDlID0HnwQwcH4HX7_UkHPBynxQHwF9y/view?usp=drive_link" TargetMode="External"/><Relationship Id="rId213" Type="http://schemas.openxmlformats.org/officeDocument/2006/relationships/hyperlink" Target="https://drive.google.com/file/d/1iJxSvUL2rdp0d17ar3wpko4C6DUbhwLE/view?usp=drive_link" TargetMode="External"/><Relationship Id="rId212" Type="http://schemas.openxmlformats.org/officeDocument/2006/relationships/hyperlink" Target="https://drive.google.com/file/d/1tnncUqxTkluX4frb1NkPMVTtHWSOQ_2q/view?usp=drive_link" TargetMode="External"/><Relationship Id="rId211" Type="http://schemas.openxmlformats.org/officeDocument/2006/relationships/hyperlink" Target="https://drive.google.com/file/d/1c7f_HKv4qx_Y1Jk2NIPEyKjnIHzj3a9G/view?usp=drive_link" TargetMode="External"/><Relationship Id="rId210" Type="http://schemas.openxmlformats.org/officeDocument/2006/relationships/hyperlink" Target="https://drive.google.com/file/d/1JSPT1FV_ItKC93_CSfVuFsOw2kdKcVc0/view?usp=drive_link" TargetMode="External"/><Relationship Id="rId129" Type="http://schemas.openxmlformats.org/officeDocument/2006/relationships/hyperlink" Target="https://drive.google.com/file/d/1WC0M2sS0BfsJSKxLjgphZyZKs3WrhhNQ/view?usp=drive_link" TargetMode="External"/><Relationship Id="rId128" Type="http://schemas.openxmlformats.org/officeDocument/2006/relationships/hyperlink" Target="https://drive.google.com/file/d/1aJQOuWZcsaoE1DP4lk-FXmg7FFGwrPQm/view?usp=drive_link" TargetMode="External"/><Relationship Id="rId249" Type="http://schemas.openxmlformats.org/officeDocument/2006/relationships/hyperlink" Target="https://drive.google.com/file/d/1SaWa-s3KjTWU7osSYCK7QnxwJ4CnxuDX/view?usp=drive_link" TargetMode="External"/><Relationship Id="rId127" Type="http://schemas.openxmlformats.org/officeDocument/2006/relationships/hyperlink" Target="https://drive.google.com/file/d/1FT_6MUTK4-C-girDvLpL-En_fJJPYEeV/view?usp=drive_link" TargetMode="External"/><Relationship Id="rId248" Type="http://schemas.openxmlformats.org/officeDocument/2006/relationships/hyperlink" Target="https://drive.google.com/file/d/1MxKzQMNVlVSHXTXvq8eT2pvcdhaMPvr2/view?usp=drive_link" TargetMode="External"/><Relationship Id="rId126" Type="http://schemas.openxmlformats.org/officeDocument/2006/relationships/hyperlink" Target="https://drive.google.com/open?id=1kIBZ9C_bEJnY493X6c02azgV6a9o_kxK" TargetMode="External"/><Relationship Id="rId247" Type="http://schemas.openxmlformats.org/officeDocument/2006/relationships/hyperlink" Target="https://drive.google.com/file/d/1FoQzBy-2LhoUYy_hz5H-oHvAuJtLOY0t/view?usp=drive_link" TargetMode="External"/><Relationship Id="rId121" Type="http://schemas.openxmlformats.org/officeDocument/2006/relationships/hyperlink" Target="https://drive.google.com/file/d/1iEO52dK5L9b28QVc7GM9dlgSakllAB1q/view?usp=drive_link" TargetMode="External"/><Relationship Id="rId242" Type="http://schemas.openxmlformats.org/officeDocument/2006/relationships/hyperlink" Target="https://drive.google.com/file/d/1ACY0jAAhcMUMeGyVfBWb7tmYlr9aJRNw/view?usp=drive_link" TargetMode="External"/><Relationship Id="rId120" Type="http://schemas.openxmlformats.org/officeDocument/2006/relationships/hyperlink" Target="https://drive.google.com/open?id=1V7pTLcVFeXpJvcOGK8tO0TGnbVM1eHY_" TargetMode="External"/><Relationship Id="rId241" Type="http://schemas.openxmlformats.org/officeDocument/2006/relationships/hyperlink" Target="https://drive.google.com/file/d/14EBgFshcRa4hSNw-hr1y8BujX6XBHIz0/view?usp=drive_link" TargetMode="External"/><Relationship Id="rId240" Type="http://schemas.openxmlformats.org/officeDocument/2006/relationships/hyperlink" Target="https://drive.google.com/file/d/1hMZJA96xA06QXm_kYzsf33wjKHOP2xQk/view?usp=drive_link" TargetMode="External"/><Relationship Id="rId125" Type="http://schemas.openxmlformats.org/officeDocument/2006/relationships/hyperlink" Target="https://drive.google.com/file/d/1vvZ8WEOALl42pkV2z86TsVSxEZOVZ8NR/view?usp=drive_link" TargetMode="External"/><Relationship Id="rId246" Type="http://schemas.openxmlformats.org/officeDocument/2006/relationships/hyperlink" Target="https://drive.google.com/file/d/1B2-jJA_cTtA6He4hx21HkKElIDpQciMG/view?usp=drive_link" TargetMode="External"/><Relationship Id="rId124" Type="http://schemas.openxmlformats.org/officeDocument/2006/relationships/hyperlink" Target="https://drive.google.com/open?id=16Gfl9rk91T2x0yAIIx5VjblqMUKdI75L" TargetMode="External"/><Relationship Id="rId245" Type="http://schemas.openxmlformats.org/officeDocument/2006/relationships/hyperlink" Target="https://drive.google.com/open?id=1d4Nbobk-indPKHA1LO63sk3hvNetwW2V" TargetMode="External"/><Relationship Id="rId123" Type="http://schemas.openxmlformats.org/officeDocument/2006/relationships/hyperlink" Target="https://drive.google.com/file/d/147ieFGvTQVM2WdYMs_Jb1b2nFVDUu3h2/view?usp=drive_link" TargetMode="External"/><Relationship Id="rId244" Type="http://schemas.openxmlformats.org/officeDocument/2006/relationships/hyperlink" Target="https://drive.google.com/file/d/1LN64pc1VjcuyQQxQzzMu9LKzZppPO6oH/view?usp=drive_link" TargetMode="External"/><Relationship Id="rId122" Type="http://schemas.openxmlformats.org/officeDocument/2006/relationships/hyperlink" Target="https://drive.google.com/open?id=1jedYZSbXacC7sFrUJ-PreTzrKuw3i7Yr" TargetMode="External"/><Relationship Id="rId243" Type="http://schemas.openxmlformats.org/officeDocument/2006/relationships/hyperlink" Target="https://drive.google.com/file/d/170yKWqHAT43kwwHq21BVvPDeGfcr85BP/view?usp=drive_link" TargetMode="External"/><Relationship Id="rId95" Type="http://schemas.openxmlformats.org/officeDocument/2006/relationships/hyperlink" Target="https://drive.google.com/file/d/1ARFpJjiByEAdOIGCncae1AqMZDNOD1Ct/view?usp=drive_link" TargetMode="External"/><Relationship Id="rId94" Type="http://schemas.openxmlformats.org/officeDocument/2006/relationships/hyperlink" Target="https://drive.google.com/file/d/1WS_hrJnSEyu1bqtV01W6sfm4iHytvQdp/view?usp=drive_link" TargetMode="External"/><Relationship Id="rId97" Type="http://schemas.openxmlformats.org/officeDocument/2006/relationships/hyperlink" Target="https://drive.google.com/file/d/1Ka90SQoUKzlNEr4Y3XtVeVFBwQjDZUl6/view?usp=drive_link" TargetMode="External"/><Relationship Id="rId96" Type="http://schemas.openxmlformats.org/officeDocument/2006/relationships/hyperlink" Target="https://drive.google.com/open?id=1fws3iyndpscN2ZfBINSnYG51pg0XNIPb" TargetMode="External"/><Relationship Id="rId99" Type="http://schemas.openxmlformats.org/officeDocument/2006/relationships/hyperlink" Target="https://drive.google.com/file/d/1jNXhkj8PSVkNiFbsDfoWAwbJcYo2icXk/view?usp=drive_link" TargetMode="External"/><Relationship Id="rId98" Type="http://schemas.openxmlformats.org/officeDocument/2006/relationships/hyperlink" Target="https://drive.google.com/open?id=1DpbllNTWPqhhmP73glwtGctfpYkJdNXB" TargetMode="External"/><Relationship Id="rId91" Type="http://schemas.openxmlformats.org/officeDocument/2006/relationships/hyperlink" Target="https://drive.google.com/file/d/1wW6iGiDGwZfTzFY28iY0PbyH_Xlmjwu9/view?usp=drive_link" TargetMode="External"/><Relationship Id="rId90" Type="http://schemas.openxmlformats.org/officeDocument/2006/relationships/hyperlink" Target="https://drive.google.com/open?id=1oMrixRkOLKXRsAT_pf2GIgPQSfcr59wj" TargetMode="External"/><Relationship Id="rId93" Type="http://schemas.openxmlformats.org/officeDocument/2006/relationships/hyperlink" Target="https://drive.google.com/file/d/1Omh_1z54-kXa6Z3qix-SaGxl6xVg1ta3/view?usp=drive_link" TargetMode="External"/><Relationship Id="rId92" Type="http://schemas.openxmlformats.org/officeDocument/2006/relationships/hyperlink" Target="https://drive.google.com/open?id=1Jvzo_LgjfxEN7bBF62C1WWjIoCi1T8Fm" TargetMode="External"/><Relationship Id="rId118" Type="http://schemas.openxmlformats.org/officeDocument/2006/relationships/hyperlink" Target="https://drive.google.com/open?id=1x4v2Jy9ElQOkLAHrkGaN32DhYhj-9qVt" TargetMode="External"/><Relationship Id="rId239" Type="http://schemas.openxmlformats.org/officeDocument/2006/relationships/hyperlink" Target="https://drive.google.com/file/d/1w-flFW2_BYmwYsKxNjbRLXSNLr2VPVqI/view?usp=drive_link" TargetMode="External"/><Relationship Id="rId117" Type="http://schemas.openxmlformats.org/officeDocument/2006/relationships/hyperlink" Target="https://drive.google.com/file/d/136_ztT5df6bBRhYLRSC8NfXI7-qyht52/view?usp=drive_link" TargetMode="External"/><Relationship Id="rId238" Type="http://schemas.openxmlformats.org/officeDocument/2006/relationships/hyperlink" Target="https://drive.google.com/file/d/1bzwwthOR9pADhnfItWiRrTnOY3NoUk6q/view?usp=drive_link" TargetMode="External"/><Relationship Id="rId116" Type="http://schemas.openxmlformats.org/officeDocument/2006/relationships/hyperlink" Target="https://drive.google.com/open?id=1STIJBPX0XqtzuiTRqWevhse5d1CG-fAA" TargetMode="External"/><Relationship Id="rId237" Type="http://schemas.openxmlformats.org/officeDocument/2006/relationships/hyperlink" Target="https://drive.google.com/file/d/1csq0_v3ViGdq4blePbbJTabQgz2nz32n/view?usp=drive_link" TargetMode="External"/><Relationship Id="rId115" Type="http://schemas.openxmlformats.org/officeDocument/2006/relationships/hyperlink" Target="https://drive.google.com/file/d/1lM2LFSPPGxVb2EmXFjQs1-lStmpjTLpT/view?usp=drive_link" TargetMode="External"/><Relationship Id="rId236" Type="http://schemas.openxmlformats.org/officeDocument/2006/relationships/hyperlink" Target="https://drive.google.com/file/d/15dhsrDqEY1KYx6-iVlUQTb-iMihqIS5P/view?usp=drive_link" TargetMode="External"/><Relationship Id="rId119" Type="http://schemas.openxmlformats.org/officeDocument/2006/relationships/hyperlink" Target="https://drive.google.com/file/d/1SUAKdbPy2Eo50GxnHB9U4xRZ-0Gu1Vb0/view?usp=drive_link" TargetMode="External"/><Relationship Id="rId110" Type="http://schemas.openxmlformats.org/officeDocument/2006/relationships/hyperlink" Target="https://drive.google.com/open?id=1XrW3oyCIuix8hKOjyTXNh751fnVwOUlH" TargetMode="External"/><Relationship Id="rId231" Type="http://schemas.openxmlformats.org/officeDocument/2006/relationships/hyperlink" Target="https://drive.google.com/file/d/1lV33o-QTzNOoyVQP-4UcLFP1ejLdm8eG/view?usp=drive_link" TargetMode="External"/><Relationship Id="rId230" Type="http://schemas.openxmlformats.org/officeDocument/2006/relationships/hyperlink" Target="https://drive.google.com/file/d/1hOm309TuzZsln9mvkhmPN0xwoxX2rL9A/view?usp=drive_link" TargetMode="External"/><Relationship Id="rId114" Type="http://schemas.openxmlformats.org/officeDocument/2006/relationships/hyperlink" Target="https://drive.google.com/open?id=1kHMO130X9zhSvT1qlXxapjMEpMAkx_Jm" TargetMode="External"/><Relationship Id="rId235" Type="http://schemas.openxmlformats.org/officeDocument/2006/relationships/hyperlink" Target="https://drive.google.com/file/d/1AbziMexNMXlrZOuK_I6IeaMMcDeN0pZk/view?usp=drive_link" TargetMode="External"/><Relationship Id="rId113" Type="http://schemas.openxmlformats.org/officeDocument/2006/relationships/hyperlink" Target="https://drive.google.com/file/d/1U00hNmFUea8DCkYu_1l1nSLmQf4_gJcL/view?usp=drive_link" TargetMode="External"/><Relationship Id="rId234" Type="http://schemas.openxmlformats.org/officeDocument/2006/relationships/hyperlink" Target="https://drive.google.com/file/d/1k_1VDeKBOMSqAF804JzAYmX4m8YUFCOe/view?usp=drive_link" TargetMode="External"/><Relationship Id="rId112" Type="http://schemas.openxmlformats.org/officeDocument/2006/relationships/hyperlink" Target="https://drive.google.com/open?id=1uz5ND3yqPDuolvfW205nnu-Fj6Tlpa_R" TargetMode="External"/><Relationship Id="rId233" Type="http://schemas.openxmlformats.org/officeDocument/2006/relationships/hyperlink" Target="https://drive.google.com/file/d/12i9_drG9kruHAfm96kJDol0WqvPmG_51/view?usp=drive_link" TargetMode="External"/><Relationship Id="rId111" Type="http://schemas.openxmlformats.org/officeDocument/2006/relationships/hyperlink" Target="https://drive.google.com/file/d/12PoepJhW2WItcmUFYv_2zClMKIs25HJA/view?usp=drive_link" TargetMode="External"/><Relationship Id="rId232" Type="http://schemas.openxmlformats.org/officeDocument/2006/relationships/hyperlink" Target="https://drive.google.com/file/d/10sqOBVyLgZGMVMj_svMxKUpm-AMZmiTK/view?usp=drive_link" TargetMode="External"/><Relationship Id="rId305" Type="http://schemas.openxmlformats.org/officeDocument/2006/relationships/hyperlink" Target="https://drive.google.com/file/d/1XU7EN1dBjp8f4rEq-yA50gugCrv_nDze/view?usp=drive_link" TargetMode="External"/><Relationship Id="rId304" Type="http://schemas.openxmlformats.org/officeDocument/2006/relationships/hyperlink" Target="https://drive.google.com/file/d/1-6eqFLNNofsQSdEAkNtWe1Osnigmit1U/view?usp=sharing" TargetMode="External"/><Relationship Id="rId303" Type="http://schemas.openxmlformats.org/officeDocument/2006/relationships/hyperlink" Target="https://drive.google.com/file/d/1QJ3K5Mno1uSgrRbj4VLj9C-OfMlmIFZA/view?usp=drive_link" TargetMode="External"/><Relationship Id="rId302" Type="http://schemas.openxmlformats.org/officeDocument/2006/relationships/hyperlink" Target="https://drive.google.com/file/d/1WshveoaxSaG9xYTe9oicMmGrckKFuVuQ/view?usp=drive_link" TargetMode="External"/><Relationship Id="rId309" Type="http://schemas.openxmlformats.org/officeDocument/2006/relationships/hyperlink" Target="https://drive.google.com/file/d/1SCzuMwmtDfBb4y9Maf45QzBpzmFds9TC/view?usp=drive_link" TargetMode="External"/><Relationship Id="rId308" Type="http://schemas.openxmlformats.org/officeDocument/2006/relationships/hyperlink" Target="https://drive.google.com/file/d/1raUf728K-MhPXMmFvO2vCf4gBbUm3fC1/view?usp=drive_link" TargetMode="External"/><Relationship Id="rId307" Type="http://schemas.openxmlformats.org/officeDocument/2006/relationships/hyperlink" Target="https://drive.google.com/file/d/1wjjr5K8OBRlfABZoV3WE_zwDELh5LeGT/view?usp=drive_link" TargetMode="External"/><Relationship Id="rId306" Type="http://schemas.openxmlformats.org/officeDocument/2006/relationships/hyperlink" Target="https://drive.google.com/file/d/17cmJGNcCZhlT8Czdhzz4LjI_xEVPHHA6/view?usp=sharing" TargetMode="External"/><Relationship Id="rId301" Type="http://schemas.openxmlformats.org/officeDocument/2006/relationships/hyperlink" Target="https://drive.google.com/file/d/1O77JzoHfWupV-n4iPbwhVYHevKQnXG_g/view?usp=drive_link" TargetMode="External"/><Relationship Id="rId300" Type="http://schemas.openxmlformats.org/officeDocument/2006/relationships/hyperlink" Target="https://drive.google.com/file/d/1IUzwWA1WWyQIfWjKVQOCyJVXXvMH1MwS/view?usp=drive_link" TargetMode="External"/><Relationship Id="rId206" Type="http://schemas.openxmlformats.org/officeDocument/2006/relationships/hyperlink" Target="https://drive.google.com/file/d/1UaE_TKH4BxMntOVG4DPIyQ6ECVMPfLtb/view?usp=drive_link" TargetMode="External"/><Relationship Id="rId205" Type="http://schemas.openxmlformats.org/officeDocument/2006/relationships/hyperlink" Target="https://drive.google.com/file/d/1xi810r3W6Lj4s9R7wN0G-ZCtBSoJ2iKT/view?usp=drive_link" TargetMode="External"/><Relationship Id="rId326" Type="http://schemas.openxmlformats.org/officeDocument/2006/relationships/drawing" Target="../drawings/drawing1.xml"/><Relationship Id="rId204" Type="http://schemas.openxmlformats.org/officeDocument/2006/relationships/hyperlink" Target="https://drive.google.com/file/d/1oF6bJpEcAXBUXFujqLFy_d287Goa-Gz7/view?usp=drive_link" TargetMode="External"/><Relationship Id="rId325" Type="http://schemas.openxmlformats.org/officeDocument/2006/relationships/hyperlink" Target="https://drive.google.com/file/d/1_4-C9QEUxL2No1Lu1OQ2n28sKo52usZL/view?usp=drive_link" TargetMode="External"/><Relationship Id="rId203" Type="http://schemas.openxmlformats.org/officeDocument/2006/relationships/hyperlink" Target="https://drive.google.com/file/d/10SQcRfsfY5X5HIgt6Y9xek-eK6b2gV8a/view?usp=drivesdk" TargetMode="External"/><Relationship Id="rId324" Type="http://schemas.openxmlformats.org/officeDocument/2006/relationships/hyperlink" Target="https://drive.google.com/file/d/1ko2FvqEwfveLZBhxfo62q5X5QTBNZq41/view?usp=drive_link" TargetMode="External"/><Relationship Id="rId209" Type="http://schemas.openxmlformats.org/officeDocument/2006/relationships/hyperlink" Target="https://drive.google.com/file/d/11EVIX9lH1zwI4lNFfS5MWCh5ootQ11GG/view?usp=drive_link" TargetMode="External"/><Relationship Id="rId208" Type="http://schemas.openxmlformats.org/officeDocument/2006/relationships/hyperlink" Target="https://drive.google.com/file/d/1wnmGwEGsA9aPWfKiNRlClkXW1dr4otbr/view?usp=drive_link" TargetMode="External"/><Relationship Id="rId207" Type="http://schemas.openxmlformats.org/officeDocument/2006/relationships/hyperlink" Target="https://drive.google.com/file/d/1H5tjcFcfnVRjOLtDybZ_1CklRmgV5nbZ/view?usp=drive_link" TargetMode="External"/><Relationship Id="rId328" Type="http://schemas.openxmlformats.org/officeDocument/2006/relationships/table" Target="../tables/table1.xml"/><Relationship Id="rId202" Type="http://schemas.openxmlformats.org/officeDocument/2006/relationships/hyperlink" Target="https://drive.google.com/file/d/1xFU2jxMhVRxXWIrU1SHQ4eWHwKBitzr-/view?usp=drive_link" TargetMode="External"/><Relationship Id="rId323" Type="http://schemas.openxmlformats.org/officeDocument/2006/relationships/hyperlink" Target="https://drive.google.com/file/d/1wCVLwnjzZClj7OMtHL76WdHjSS33sIKP/view?usp=drive_link" TargetMode="External"/><Relationship Id="rId201" Type="http://schemas.openxmlformats.org/officeDocument/2006/relationships/hyperlink" Target="https://drive.google.com/file/d/1dykNe6Y2w5sKmthL7-cKQ8Nzg6PZYSL9/view?usp=drive_link" TargetMode="External"/><Relationship Id="rId322" Type="http://schemas.openxmlformats.org/officeDocument/2006/relationships/hyperlink" Target="https://drive.google.com/file/d/1btTQAePSCCr463EQxvDs7GLjLuYfna8O/view?usp=drive_link" TargetMode="External"/><Relationship Id="rId200" Type="http://schemas.openxmlformats.org/officeDocument/2006/relationships/hyperlink" Target="https://drive.google.com/file/d/1z0nkSqGmr6MQPcE4q00aNF_fbalBqIDf/view?usp=sharing" TargetMode="External"/><Relationship Id="rId321" Type="http://schemas.openxmlformats.org/officeDocument/2006/relationships/hyperlink" Target="https://drive.google.com/file/d/1JOJRmpPLcvW-fxWD6Rb6kYnHODNigoPr/view?usp=drive_link" TargetMode="External"/><Relationship Id="rId320" Type="http://schemas.openxmlformats.org/officeDocument/2006/relationships/hyperlink" Target="https://drive.google.com/file/d/1PKXh7aX-2hZuPWuYMlXdfi6BTFLQOGf7/view?usp=drive_link" TargetMode="External"/><Relationship Id="rId316" Type="http://schemas.openxmlformats.org/officeDocument/2006/relationships/hyperlink" Target="https://drive.google.com/file/d/11O3ZEbQ3sm5eW-YSVJBuc05_VMFP22dD/view?usp=drive_link" TargetMode="External"/><Relationship Id="rId315" Type="http://schemas.openxmlformats.org/officeDocument/2006/relationships/hyperlink" Target="https://drive.google.com/file/d/1WEFsfZigWnrW-tJhxzwFCSg_pvAR_-Y2/view?usp=drive_link" TargetMode="External"/><Relationship Id="rId314" Type="http://schemas.openxmlformats.org/officeDocument/2006/relationships/hyperlink" Target="https://drive.google.com/file/d/1ZwiHCCQ1WJ7KfreoSrjzxRqM2bsPIEyV/view?usp=drive_link" TargetMode="External"/><Relationship Id="rId313" Type="http://schemas.openxmlformats.org/officeDocument/2006/relationships/hyperlink" Target="https://drive.google.com/file/d/1f5PymF11AIaVO5YoNtQTJOCabLXxkug9/view?usp=drive_link" TargetMode="External"/><Relationship Id="rId319" Type="http://schemas.openxmlformats.org/officeDocument/2006/relationships/hyperlink" Target="https://drive.google.com/file/d/1TgxF1p_IE56dXXDGu4pN_e_Sk9pw4sqf/view?usp=drive_link" TargetMode="External"/><Relationship Id="rId318" Type="http://schemas.openxmlformats.org/officeDocument/2006/relationships/hyperlink" Target="https://drive.google.com/file/d/19yWKIxo4l9VZ3jtE0miQ_aBbJOuAo2jG/view?usp=drive_link" TargetMode="External"/><Relationship Id="rId317" Type="http://schemas.openxmlformats.org/officeDocument/2006/relationships/hyperlink" Target="https://drive.google.com/file/d/1Q_DCb19pGWb1YD4sGqkOeePRV5i6Gtin/view?usp=drive_link" TargetMode="External"/><Relationship Id="rId312" Type="http://schemas.openxmlformats.org/officeDocument/2006/relationships/hyperlink" Target="https://drive.google.com/file/d/1Ev3BuLSZql-v8qxKLdsiO1yP3jR_0VnZ/view?usp=drive_link" TargetMode="External"/><Relationship Id="rId311" Type="http://schemas.openxmlformats.org/officeDocument/2006/relationships/hyperlink" Target="https://drive.google.com/file/d/1x-05GlTLyRu5jrsXhHjkbgDkK4mBGU-6/view?usp=drive_link" TargetMode="External"/><Relationship Id="rId310" Type="http://schemas.openxmlformats.org/officeDocument/2006/relationships/hyperlink" Target="https://drive.google.com/file/d/1uLBtTWiIUmh2akAqK2wb3KxO0-dEgJry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74.0"/>
    <col customWidth="1" min="3" max="3" width="22.63"/>
    <col customWidth="1" min="4" max="4" width="32.25"/>
    <col customWidth="1" min="8" max="8" width="25.75"/>
    <col customWidth="1" min="9" max="9" width="71.0"/>
    <col customWidth="1" min="10" max="10" width="62.38"/>
    <col customWidth="1" min="11" max="11" width="42.75"/>
    <col customWidth="1" min="12" max="12" width="2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8" t="s">
        <v>11</v>
      </c>
      <c r="C2" s="9" t="s">
        <v>12</v>
      </c>
      <c r="D2" s="10" t="s">
        <v>13</v>
      </c>
      <c r="E2" s="11">
        <v>500.0</v>
      </c>
      <c r="F2" s="9" t="s">
        <v>14</v>
      </c>
      <c r="G2" s="9">
        <v>250.0</v>
      </c>
      <c r="H2" s="12" t="s">
        <v>15</v>
      </c>
      <c r="I2" s="13" t="s">
        <v>16</v>
      </c>
      <c r="J2" s="14" t="s">
        <v>17</v>
      </c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5" t="s">
        <v>18</v>
      </c>
      <c r="B3" s="16" t="s">
        <v>19</v>
      </c>
      <c r="C3" s="9" t="s">
        <v>20</v>
      </c>
      <c r="D3" s="17" t="s">
        <v>21</v>
      </c>
      <c r="E3" s="9">
        <v>25.0</v>
      </c>
      <c r="F3" s="9" t="s">
        <v>14</v>
      </c>
      <c r="G3" s="9">
        <v>10.0</v>
      </c>
      <c r="H3" s="10" t="s">
        <v>22</v>
      </c>
      <c r="I3" s="13" t="s">
        <v>23</v>
      </c>
      <c r="J3" s="18" t="s">
        <v>24</v>
      </c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15" t="s">
        <v>25</v>
      </c>
      <c r="B4" s="19" t="s">
        <v>26</v>
      </c>
      <c r="C4" s="9" t="s">
        <v>20</v>
      </c>
      <c r="D4" s="10" t="s">
        <v>27</v>
      </c>
      <c r="E4" s="9">
        <v>25.0</v>
      </c>
      <c r="F4" s="9" t="s">
        <v>14</v>
      </c>
      <c r="G4" s="9">
        <v>10.0</v>
      </c>
      <c r="H4" s="10" t="s">
        <v>28</v>
      </c>
      <c r="I4" s="13" t="s">
        <v>29</v>
      </c>
      <c r="J4" s="18" t="s">
        <v>30</v>
      </c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" t="s">
        <v>31</v>
      </c>
      <c r="B5" s="20" t="s">
        <v>32</v>
      </c>
      <c r="C5" s="9" t="s">
        <v>33</v>
      </c>
      <c r="D5" s="17" t="s">
        <v>34</v>
      </c>
      <c r="E5" s="9">
        <v>250.0</v>
      </c>
      <c r="F5" s="9" t="s">
        <v>14</v>
      </c>
      <c r="G5" s="9">
        <v>100.0</v>
      </c>
      <c r="H5" s="10" t="s">
        <v>35</v>
      </c>
      <c r="I5" s="13" t="s">
        <v>36</v>
      </c>
      <c r="J5" s="18" t="s">
        <v>37</v>
      </c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15" t="s">
        <v>38</v>
      </c>
      <c r="B6" s="10" t="s">
        <v>39</v>
      </c>
      <c r="C6" s="21" t="s">
        <v>40</v>
      </c>
      <c r="D6" s="17" t="s">
        <v>41</v>
      </c>
      <c r="E6" s="9">
        <v>250.0</v>
      </c>
      <c r="F6" s="9" t="s">
        <v>14</v>
      </c>
      <c r="G6" s="9">
        <v>100.0</v>
      </c>
      <c r="H6" s="10" t="s">
        <v>42</v>
      </c>
      <c r="I6" s="13" t="s">
        <v>43</v>
      </c>
      <c r="J6" s="18" t="s">
        <v>44</v>
      </c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 t="s">
        <v>45</v>
      </c>
      <c r="B7" s="22" t="s">
        <v>46</v>
      </c>
      <c r="C7" s="21" t="s">
        <v>47</v>
      </c>
      <c r="D7" s="17" t="s">
        <v>48</v>
      </c>
      <c r="E7" s="9">
        <v>100.0</v>
      </c>
      <c r="F7" s="9" t="s">
        <v>14</v>
      </c>
      <c r="G7" s="9">
        <v>10.0</v>
      </c>
      <c r="H7" s="23" t="s">
        <v>49</v>
      </c>
      <c r="I7" s="13" t="s">
        <v>50</v>
      </c>
      <c r="J7" s="18" t="s">
        <v>51</v>
      </c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5" t="s">
        <v>52</v>
      </c>
      <c r="B8" s="10" t="s">
        <v>53</v>
      </c>
      <c r="C8" s="24" t="s">
        <v>54</v>
      </c>
      <c r="D8" s="17" t="s">
        <v>55</v>
      </c>
      <c r="E8" s="9">
        <v>1000.0</v>
      </c>
      <c r="F8" s="9" t="s">
        <v>14</v>
      </c>
      <c r="G8" s="9">
        <v>250.0</v>
      </c>
      <c r="H8" s="10" t="s">
        <v>56</v>
      </c>
      <c r="I8" s="13" t="s">
        <v>57</v>
      </c>
      <c r="J8" s="18" t="s">
        <v>58</v>
      </c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59</v>
      </c>
      <c r="B9" s="25" t="s">
        <v>60</v>
      </c>
      <c r="C9" s="21" t="s">
        <v>61</v>
      </c>
      <c r="D9" s="17" t="s">
        <v>62</v>
      </c>
      <c r="E9" s="11">
        <v>250.0</v>
      </c>
      <c r="F9" s="9" t="s">
        <v>14</v>
      </c>
      <c r="G9" s="9">
        <v>100.0</v>
      </c>
      <c r="H9" s="26" t="s">
        <v>63</v>
      </c>
      <c r="I9" s="13" t="s">
        <v>64</v>
      </c>
      <c r="J9" s="18" t="s">
        <v>65</v>
      </c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5" t="s">
        <v>66</v>
      </c>
      <c r="B10" s="25" t="s">
        <v>67</v>
      </c>
      <c r="C10" s="21" t="s">
        <v>68</v>
      </c>
      <c r="D10" s="17" t="s">
        <v>69</v>
      </c>
      <c r="E10" s="9">
        <v>500.0</v>
      </c>
      <c r="F10" s="9" t="s">
        <v>14</v>
      </c>
      <c r="G10" s="9">
        <v>10.0</v>
      </c>
      <c r="H10" s="10" t="s">
        <v>70</v>
      </c>
      <c r="I10" s="13" t="s">
        <v>71</v>
      </c>
      <c r="J10" s="18" t="s">
        <v>72</v>
      </c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5" t="s">
        <v>73</v>
      </c>
      <c r="B11" s="10" t="s">
        <v>74</v>
      </c>
      <c r="C11" s="27" t="s">
        <v>75</v>
      </c>
      <c r="D11" s="17" t="s">
        <v>76</v>
      </c>
      <c r="E11" s="9">
        <v>500.0</v>
      </c>
      <c r="F11" s="9" t="s">
        <v>14</v>
      </c>
      <c r="G11" s="9">
        <v>50.0</v>
      </c>
      <c r="H11" s="10" t="s">
        <v>77</v>
      </c>
      <c r="I11" s="13" t="s">
        <v>78</v>
      </c>
      <c r="J11" s="18" t="s">
        <v>79</v>
      </c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5" t="s">
        <v>80</v>
      </c>
      <c r="B12" s="10" t="s">
        <v>81</v>
      </c>
      <c r="C12" s="28" t="s">
        <v>82</v>
      </c>
      <c r="D12" s="29" t="s">
        <v>83</v>
      </c>
      <c r="E12" s="30">
        <v>500.0</v>
      </c>
      <c r="F12" s="28" t="s">
        <v>14</v>
      </c>
      <c r="G12" s="28">
        <v>10.0</v>
      </c>
      <c r="H12" s="23" t="s">
        <v>84</v>
      </c>
      <c r="I12" s="13" t="s">
        <v>85</v>
      </c>
      <c r="J12" s="18" t="s">
        <v>86</v>
      </c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5" t="s">
        <v>87</v>
      </c>
      <c r="B13" s="12" t="s">
        <v>88</v>
      </c>
      <c r="C13" s="9" t="s">
        <v>89</v>
      </c>
      <c r="D13" s="17" t="s">
        <v>90</v>
      </c>
      <c r="E13" s="9">
        <v>100.0</v>
      </c>
      <c r="F13" s="9" t="s">
        <v>14</v>
      </c>
      <c r="G13" s="9">
        <v>50.0</v>
      </c>
      <c r="H13" s="10" t="s">
        <v>91</v>
      </c>
      <c r="I13" s="13" t="s">
        <v>92</v>
      </c>
      <c r="J13" s="18" t="s">
        <v>93</v>
      </c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5" t="s">
        <v>94</v>
      </c>
      <c r="B14" s="10" t="s">
        <v>95</v>
      </c>
      <c r="C14" s="9" t="s">
        <v>96</v>
      </c>
      <c r="D14" s="17" t="s">
        <v>97</v>
      </c>
      <c r="E14" s="9">
        <v>100.0</v>
      </c>
      <c r="F14" s="9" t="s">
        <v>14</v>
      </c>
      <c r="G14" s="9">
        <v>10.0</v>
      </c>
      <c r="H14" s="23" t="s">
        <v>98</v>
      </c>
      <c r="I14" s="13" t="s">
        <v>99</v>
      </c>
      <c r="J14" s="18" t="s">
        <v>100</v>
      </c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5" t="s">
        <v>101</v>
      </c>
      <c r="B15" s="12" t="s">
        <v>102</v>
      </c>
      <c r="C15" s="28" t="s">
        <v>103</v>
      </c>
      <c r="D15" s="29" t="s">
        <v>104</v>
      </c>
      <c r="E15" s="31">
        <v>105.0</v>
      </c>
      <c r="F15" s="28" t="s">
        <v>14</v>
      </c>
      <c r="G15" s="28">
        <v>10.0</v>
      </c>
      <c r="H15" s="10" t="s">
        <v>105</v>
      </c>
      <c r="I15" s="13" t="s">
        <v>106</v>
      </c>
      <c r="J15" s="18" t="s">
        <v>107</v>
      </c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108</v>
      </c>
      <c r="B16" s="32" t="s">
        <v>109</v>
      </c>
      <c r="C16" s="9" t="s">
        <v>110</v>
      </c>
      <c r="D16" s="17" t="s">
        <v>111</v>
      </c>
      <c r="E16" s="9">
        <v>100.0</v>
      </c>
      <c r="F16" s="9" t="s">
        <v>14</v>
      </c>
      <c r="G16" s="9">
        <v>50.0</v>
      </c>
      <c r="H16" s="10" t="s">
        <v>112</v>
      </c>
      <c r="I16" s="13" t="s">
        <v>113</v>
      </c>
      <c r="J16" s="18" t="s">
        <v>114</v>
      </c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5" t="s">
        <v>115</v>
      </c>
      <c r="B17" s="8" t="s">
        <v>116</v>
      </c>
      <c r="C17" s="9" t="s">
        <v>117</v>
      </c>
      <c r="D17" s="17" t="s">
        <v>118</v>
      </c>
      <c r="E17" s="9">
        <v>250.0</v>
      </c>
      <c r="F17" s="9" t="s">
        <v>14</v>
      </c>
      <c r="G17" s="9">
        <v>100.0</v>
      </c>
      <c r="H17" s="10" t="s">
        <v>119</v>
      </c>
      <c r="I17" s="13" t="s">
        <v>120</v>
      </c>
      <c r="J17" s="18" t="s">
        <v>121</v>
      </c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5" t="s">
        <v>122</v>
      </c>
      <c r="B18" s="33" t="s">
        <v>123</v>
      </c>
      <c r="C18" s="9" t="s">
        <v>124</v>
      </c>
      <c r="D18" s="17" t="s">
        <v>125</v>
      </c>
      <c r="E18" s="9">
        <v>100.0</v>
      </c>
      <c r="F18" s="9" t="s">
        <v>14</v>
      </c>
      <c r="G18" s="9">
        <v>100.0</v>
      </c>
      <c r="H18" s="10" t="s">
        <v>126</v>
      </c>
      <c r="I18" s="13" t="s">
        <v>127</v>
      </c>
      <c r="J18" s="18" t="s">
        <v>128</v>
      </c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5" t="s">
        <v>129</v>
      </c>
      <c r="B19" s="10" t="s">
        <v>130</v>
      </c>
      <c r="C19" s="9" t="s">
        <v>131</v>
      </c>
      <c r="D19" s="17" t="s">
        <v>132</v>
      </c>
      <c r="E19" s="9">
        <v>250.0</v>
      </c>
      <c r="F19" s="9" t="s">
        <v>14</v>
      </c>
      <c r="G19" s="9">
        <v>100.0</v>
      </c>
      <c r="H19" s="34"/>
      <c r="I19" s="13" t="s">
        <v>133</v>
      </c>
      <c r="J19" s="18" t="s">
        <v>134</v>
      </c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5" t="s">
        <v>135</v>
      </c>
      <c r="B20" s="10" t="s">
        <v>136</v>
      </c>
      <c r="C20" s="9" t="s">
        <v>137</v>
      </c>
      <c r="D20" s="17" t="s">
        <v>138</v>
      </c>
      <c r="E20" s="9">
        <v>250.0</v>
      </c>
      <c r="F20" s="9" t="s">
        <v>14</v>
      </c>
      <c r="G20" s="9">
        <v>100.0</v>
      </c>
      <c r="H20" s="35" t="s">
        <v>139</v>
      </c>
      <c r="I20" s="13" t="s">
        <v>140</v>
      </c>
      <c r="J20" s="18" t="s">
        <v>141</v>
      </c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5" t="s">
        <v>142</v>
      </c>
      <c r="B21" s="10" t="s">
        <v>143</v>
      </c>
      <c r="C21" s="9" t="s">
        <v>144</v>
      </c>
      <c r="D21" s="17" t="s">
        <v>145</v>
      </c>
      <c r="E21" s="9">
        <v>500.0</v>
      </c>
      <c r="F21" s="9" t="s">
        <v>14</v>
      </c>
      <c r="G21" s="9">
        <v>250.0</v>
      </c>
      <c r="H21" s="10" t="s">
        <v>146</v>
      </c>
      <c r="I21" s="13" t="s">
        <v>147</v>
      </c>
      <c r="J21" s="18" t="s">
        <v>148</v>
      </c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5" t="s">
        <v>149</v>
      </c>
      <c r="B22" s="10" t="s">
        <v>150</v>
      </c>
      <c r="C22" s="9" t="s">
        <v>151</v>
      </c>
      <c r="D22" s="17" t="s">
        <v>152</v>
      </c>
      <c r="E22" s="9">
        <v>500.0</v>
      </c>
      <c r="F22" s="9" t="s">
        <v>14</v>
      </c>
      <c r="G22" s="9">
        <v>200.0</v>
      </c>
      <c r="H22" s="10" t="s">
        <v>91</v>
      </c>
      <c r="I22" s="13" t="s">
        <v>153</v>
      </c>
      <c r="J22" s="18" t="s">
        <v>154</v>
      </c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5" t="s">
        <v>155</v>
      </c>
      <c r="B23" s="10" t="s">
        <v>156</v>
      </c>
      <c r="C23" s="9" t="s">
        <v>157</v>
      </c>
      <c r="D23" s="17" t="s">
        <v>158</v>
      </c>
      <c r="E23" s="9">
        <v>500.0</v>
      </c>
      <c r="F23" s="9" t="s">
        <v>14</v>
      </c>
      <c r="G23" s="9">
        <v>250.0</v>
      </c>
      <c r="H23" s="23" t="s">
        <v>159</v>
      </c>
      <c r="I23" s="13" t="s">
        <v>160</v>
      </c>
      <c r="J23" s="18" t="s">
        <v>161</v>
      </c>
      <c r="K23" s="36" t="s">
        <v>162</v>
      </c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5" t="s">
        <v>163</v>
      </c>
      <c r="B24" s="33" t="s">
        <v>164</v>
      </c>
      <c r="C24" s="9" t="s">
        <v>165</v>
      </c>
      <c r="D24" s="17" t="s">
        <v>166</v>
      </c>
      <c r="E24" s="9">
        <v>1000.0</v>
      </c>
      <c r="F24" s="9" t="s">
        <v>14</v>
      </c>
      <c r="G24" s="9">
        <v>500.0</v>
      </c>
      <c r="H24" s="10" t="s">
        <v>167</v>
      </c>
      <c r="I24" s="13" t="s">
        <v>168</v>
      </c>
      <c r="J24" s="18" t="s">
        <v>169</v>
      </c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5" t="s">
        <v>170</v>
      </c>
      <c r="B25" s="33" t="s">
        <v>171</v>
      </c>
      <c r="C25" s="9" t="s">
        <v>172</v>
      </c>
      <c r="D25" s="17" t="s">
        <v>173</v>
      </c>
      <c r="E25" s="9">
        <v>250.0</v>
      </c>
      <c r="F25" s="9" t="s">
        <v>14</v>
      </c>
      <c r="G25" s="9">
        <v>100.0</v>
      </c>
      <c r="H25" s="10" t="s">
        <v>174</v>
      </c>
      <c r="I25" s="13" t="s">
        <v>175</v>
      </c>
      <c r="J25" s="18" t="s">
        <v>176</v>
      </c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5" t="s">
        <v>177</v>
      </c>
      <c r="B26" s="33" t="s">
        <v>178</v>
      </c>
      <c r="C26" s="9" t="s">
        <v>179</v>
      </c>
      <c r="D26" s="17" t="s">
        <v>180</v>
      </c>
      <c r="E26" s="9">
        <v>1000.0</v>
      </c>
      <c r="F26" s="9" t="s">
        <v>14</v>
      </c>
      <c r="G26" s="9">
        <v>100.0</v>
      </c>
      <c r="H26" s="10" t="s">
        <v>181</v>
      </c>
      <c r="I26" s="13" t="s">
        <v>182</v>
      </c>
      <c r="J26" s="18" t="s">
        <v>183</v>
      </c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5" t="s">
        <v>184</v>
      </c>
      <c r="B27" s="33" t="s">
        <v>185</v>
      </c>
      <c r="C27" s="9" t="s">
        <v>186</v>
      </c>
      <c r="D27" s="17" t="s">
        <v>187</v>
      </c>
      <c r="E27" s="9">
        <v>500.0</v>
      </c>
      <c r="F27" s="9" t="s">
        <v>14</v>
      </c>
      <c r="G27" s="9">
        <v>250.0</v>
      </c>
      <c r="H27" s="10" t="s">
        <v>188</v>
      </c>
      <c r="I27" s="13" t="s">
        <v>189</v>
      </c>
      <c r="J27" s="18" t="s">
        <v>190</v>
      </c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5" t="s">
        <v>191</v>
      </c>
      <c r="B28" s="10" t="s">
        <v>192</v>
      </c>
      <c r="C28" s="9" t="s">
        <v>193</v>
      </c>
      <c r="D28" s="17" t="s">
        <v>194</v>
      </c>
      <c r="E28" s="9">
        <v>25.0</v>
      </c>
      <c r="F28" s="9" t="s">
        <v>14</v>
      </c>
      <c r="G28" s="9">
        <v>10.0</v>
      </c>
      <c r="H28" s="10" t="s">
        <v>195</v>
      </c>
      <c r="I28" s="13" t="s">
        <v>196</v>
      </c>
      <c r="J28" s="18" t="s">
        <v>197</v>
      </c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5" t="s">
        <v>198</v>
      </c>
      <c r="B29" s="10" t="s">
        <v>199</v>
      </c>
      <c r="C29" s="9" t="s">
        <v>200</v>
      </c>
      <c r="D29" s="17" t="s">
        <v>201</v>
      </c>
      <c r="E29" s="9">
        <v>100.0</v>
      </c>
      <c r="F29" s="9" t="s">
        <v>14</v>
      </c>
      <c r="G29" s="9">
        <v>50.0</v>
      </c>
      <c r="H29" s="10" t="s">
        <v>42</v>
      </c>
      <c r="I29" s="13" t="s">
        <v>202</v>
      </c>
      <c r="J29" s="18" t="s">
        <v>203</v>
      </c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5" t="s">
        <v>204</v>
      </c>
      <c r="B30" s="10" t="s">
        <v>205</v>
      </c>
      <c r="C30" s="9" t="s">
        <v>206</v>
      </c>
      <c r="D30" s="17" t="s">
        <v>207</v>
      </c>
      <c r="E30" s="9">
        <v>100.0</v>
      </c>
      <c r="F30" s="9" t="s">
        <v>14</v>
      </c>
      <c r="G30" s="9">
        <v>50.0</v>
      </c>
      <c r="H30" s="23" t="s">
        <v>208</v>
      </c>
      <c r="I30" s="13" t="s">
        <v>209</v>
      </c>
      <c r="J30" s="18" t="s">
        <v>210</v>
      </c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5" t="s">
        <v>211</v>
      </c>
      <c r="B31" s="10" t="s">
        <v>212</v>
      </c>
      <c r="C31" s="9" t="s">
        <v>213</v>
      </c>
      <c r="D31" s="17" t="s">
        <v>214</v>
      </c>
      <c r="E31" s="9">
        <v>25.0</v>
      </c>
      <c r="F31" s="9" t="s">
        <v>14</v>
      </c>
      <c r="G31" s="9">
        <v>10.0</v>
      </c>
      <c r="H31" s="23" t="s">
        <v>215</v>
      </c>
      <c r="I31" s="13" t="s">
        <v>216</v>
      </c>
      <c r="J31" s="18" t="s">
        <v>217</v>
      </c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5" t="s">
        <v>218</v>
      </c>
      <c r="B32" s="10" t="s">
        <v>219</v>
      </c>
      <c r="C32" s="9" t="s">
        <v>220</v>
      </c>
      <c r="D32" s="17" t="s">
        <v>221</v>
      </c>
      <c r="E32" s="9">
        <v>100.0</v>
      </c>
      <c r="F32" s="9" t="s">
        <v>14</v>
      </c>
      <c r="G32" s="9">
        <v>50.0</v>
      </c>
      <c r="H32" s="10" t="s">
        <v>222</v>
      </c>
      <c r="I32" s="13" t="s">
        <v>223</v>
      </c>
      <c r="J32" s="18" t="s">
        <v>224</v>
      </c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5" t="s">
        <v>225</v>
      </c>
      <c r="B33" s="10" t="s">
        <v>226</v>
      </c>
      <c r="C33" s="9" t="s">
        <v>227</v>
      </c>
      <c r="D33" s="17" t="s">
        <v>228</v>
      </c>
      <c r="E33" s="9">
        <v>100.0</v>
      </c>
      <c r="F33" s="9" t="s">
        <v>14</v>
      </c>
      <c r="G33" s="9">
        <v>50.0</v>
      </c>
      <c r="H33" s="10" t="s">
        <v>229</v>
      </c>
      <c r="I33" s="13" t="s">
        <v>230</v>
      </c>
      <c r="J33" s="18" t="s">
        <v>231</v>
      </c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5" t="s">
        <v>232</v>
      </c>
      <c r="B34" s="10" t="s">
        <v>233</v>
      </c>
      <c r="C34" s="9" t="s">
        <v>234</v>
      </c>
      <c r="D34" s="17" t="s">
        <v>235</v>
      </c>
      <c r="E34" s="9">
        <v>500.0</v>
      </c>
      <c r="F34" s="9" t="s">
        <v>14</v>
      </c>
      <c r="G34" s="9">
        <v>250.0</v>
      </c>
      <c r="H34" s="37" t="s">
        <v>236</v>
      </c>
      <c r="I34" s="13" t="s">
        <v>237</v>
      </c>
      <c r="J34" s="18" t="s">
        <v>238</v>
      </c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5" t="s">
        <v>239</v>
      </c>
      <c r="B35" s="10" t="s">
        <v>240</v>
      </c>
      <c r="C35" s="9" t="s">
        <v>241</v>
      </c>
      <c r="D35" s="17" t="s">
        <v>242</v>
      </c>
      <c r="E35" s="9">
        <v>500.0</v>
      </c>
      <c r="F35" s="9" t="s">
        <v>14</v>
      </c>
      <c r="G35" s="9">
        <v>250.0</v>
      </c>
      <c r="H35" s="23" t="s">
        <v>243</v>
      </c>
      <c r="I35" s="13" t="s">
        <v>244</v>
      </c>
      <c r="J35" s="18" t="s">
        <v>245</v>
      </c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5" t="s">
        <v>246</v>
      </c>
      <c r="B36" s="38" t="s">
        <v>247</v>
      </c>
      <c r="C36" s="39" t="s">
        <v>248</v>
      </c>
      <c r="D36" s="17" t="s">
        <v>249</v>
      </c>
      <c r="E36" s="9">
        <v>500.0</v>
      </c>
      <c r="F36" s="9" t="s">
        <v>14</v>
      </c>
      <c r="G36" s="9">
        <v>250.0</v>
      </c>
      <c r="H36" s="10" t="s">
        <v>250</v>
      </c>
      <c r="I36" s="13" t="s">
        <v>251</v>
      </c>
      <c r="J36" s="18" t="s">
        <v>252</v>
      </c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5" t="s">
        <v>253</v>
      </c>
      <c r="B37" s="40" t="s">
        <v>254</v>
      </c>
      <c r="C37" s="11" t="s">
        <v>255</v>
      </c>
      <c r="D37" s="17" t="s">
        <v>256</v>
      </c>
      <c r="E37" s="9">
        <v>500.0</v>
      </c>
      <c r="F37" s="9" t="s">
        <v>14</v>
      </c>
      <c r="G37" s="9">
        <v>250.0</v>
      </c>
      <c r="H37" s="23" t="s">
        <v>257</v>
      </c>
      <c r="I37" s="13" t="s">
        <v>258</v>
      </c>
      <c r="J37" s="18" t="s">
        <v>259</v>
      </c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5" t="s">
        <v>260</v>
      </c>
      <c r="B38" s="10" t="s">
        <v>261</v>
      </c>
      <c r="C38" s="9" t="s">
        <v>262</v>
      </c>
      <c r="D38" s="17" t="s">
        <v>263</v>
      </c>
      <c r="E38" s="9">
        <v>500.0</v>
      </c>
      <c r="F38" s="9" t="s">
        <v>14</v>
      </c>
      <c r="G38" s="9">
        <v>250.0</v>
      </c>
      <c r="H38" s="10" t="s">
        <v>264</v>
      </c>
      <c r="I38" s="13" t="s">
        <v>265</v>
      </c>
      <c r="J38" s="18" t="s">
        <v>266</v>
      </c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5" t="s">
        <v>267</v>
      </c>
      <c r="B39" s="41" t="s">
        <v>268</v>
      </c>
      <c r="C39" s="9" t="s">
        <v>269</v>
      </c>
      <c r="D39" s="17" t="s">
        <v>270</v>
      </c>
      <c r="E39" s="9">
        <v>500.0</v>
      </c>
      <c r="F39" s="9" t="s">
        <v>14</v>
      </c>
      <c r="G39" s="9">
        <v>250.0</v>
      </c>
      <c r="H39" s="10" t="s">
        <v>271</v>
      </c>
      <c r="I39" s="13" t="s">
        <v>272</v>
      </c>
      <c r="J39" s="18" t="s">
        <v>273</v>
      </c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5" t="s">
        <v>274</v>
      </c>
      <c r="B40" s="41" t="s">
        <v>275</v>
      </c>
      <c r="C40" s="9" t="s">
        <v>276</v>
      </c>
      <c r="D40" s="17" t="s">
        <v>277</v>
      </c>
      <c r="E40" s="9">
        <v>500.0</v>
      </c>
      <c r="F40" s="9" t="s">
        <v>14</v>
      </c>
      <c r="G40" s="9">
        <v>250.0</v>
      </c>
      <c r="H40" s="10" t="s">
        <v>171</v>
      </c>
      <c r="I40" s="13" t="s">
        <v>278</v>
      </c>
      <c r="J40" s="18" t="s">
        <v>279</v>
      </c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5" t="s">
        <v>280</v>
      </c>
      <c r="B41" s="10" t="s">
        <v>281</v>
      </c>
      <c r="C41" s="9" t="s">
        <v>282</v>
      </c>
      <c r="D41" s="17" t="s">
        <v>283</v>
      </c>
      <c r="E41" s="9">
        <v>25.0</v>
      </c>
      <c r="F41" s="9" t="s">
        <v>14</v>
      </c>
      <c r="G41" s="9">
        <v>5.0</v>
      </c>
      <c r="H41" s="10" t="s">
        <v>284</v>
      </c>
      <c r="I41" s="13" t="s">
        <v>285</v>
      </c>
      <c r="J41" s="18" t="s">
        <v>286</v>
      </c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5" t="s">
        <v>287</v>
      </c>
      <c r="B42" s="10" t="s">
        <v>288</v>
      </c>
      <c r="C42" s="9" t="s">
        <v>289</v>
      </c>
      <c r="D42" s="17" t="s">
        <v>290</v>
      </c>
      <c r="E42" s="9">
        <v>250.0</v>
      </c>
      <c r="F42" s="9" t="s">
        <v>14</v>
      </c>
      <c r="G42" s="9">
        <v>100.0</v>
      </c>
      <c r="H42" s="10" t="s">
        <v>291</v>
      </c>
      <c r="I42" s="13" t="s">
        <v>292</v>
      </c>
      <c r="J42" s="18" t="s">
        <v>293</v>
      </c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5" t="s">
        <v>294</v>
      </c>
      <c r="B43" s="10" t="s">
        <v>295</v>
      </c>
      <c r="C43" s="9" t="s">
        <v>296</v>
      </c>
      <c r="D43" s="17" t="s">
        <v>297</v>
      </c>
      <c r="E43" s="9">
        <v>100.0</v>
      </c>
      <c r="F43" s="9" t="s">
        <v>14</v>
      </c>
      <c r="G43" s="9">
        <v>25.0</v>
      </c>
      <c r="H43" s="10" t="s">
        <v>139</v>
      </c>
      <c r="I43" s="13" t="s">
        <v>298</v>
      </c>
      <c r="J43" s="18" t="s">
        <v>299</v>
      </c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5" t="s">
        <v>300</v>
      </c>
      <c r="B44" s="10" t="s">
        <v>301</v>
      </c>
      <c r="C44" s="9" t="s">
        <v>20</v>
      </c>
      <c r="D44" s="17" t="s">
        <v>302</v>
      </c>
      <c r="E44" s="9">
        <v>10.0</v>
      </c>
      <c r="F44" s="9" t="s">
        <v>14</v>
      </c>
      <c r="G44" s="9">
        <v>5.0</v>
      </c>
      <c r="H44" s="10" t="s">
        <v>167</v>
      </c>
      <c r="I44" s="13" t="s">
        <v>303</v>
      </c>
      <c r="J44" s="18" t="s">
        <v>304</v>
      </c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305</v>
      </c>
      <c r="B45" s="42" t="s">
        <v>306</v>
      </c>
      <c r="C45" s="9" t="s">
        <v>307</v>
      </c>
      <c r="D45" s="17" t="s">
        <v>308</v>
      </c>
      <c r="E45" s="9">
        <v>250.0</v>
      </c>
      <c r="F45" s="9" t="s">
        <v>14</v>
      </c>
      <c r="G45" s="9">
        <v>100.0</v>
      </c>
      <c r="H45" s="10" t="s">
        <v>112</v>
      </c>
      <c r="I45" s="13" t="s">
        <v>309</v>
      </c>
      <c r="J45" s="18" t="s">
        <v>310</v>
      </c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5" t="s">
        <v>311</v>
      </c>
      <c r="B46" s="10" t="s">
        <v>312</v>
      </c>
      <c r="C46" s="9" t="s">
        <v>313</v>
      </c>
      <c r="D46" s="17" t="s">
        <v>314</v>
      </c>
      <c r="E46" s="9">
        <v>500.0</v>
      </c>
      <c r="F46" s="9" t="s">
        <v>315</v>
      </c>
      <c r="G46" s="9">
        <v>250.0</v>
      </c>
      <c r="H46" s="10" t="s">
        <v>208</v>
      </c>
      <c r="I46" s="13" t="s">
        <v>316</v>
      </c>
      <c r="J46" s="18" t="s">
        <v>317</v>
      </c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5" t="s">
        <v>318</v>
      </c>
      <c r="B47" s="10" t="s">
        <v>319</v>
      </c>
      <c r="C47" s="9" t="s">
        <v>320</v>
      </c>
      <c r="D47" s="17" t="s">
        <v>321</v>
      </c>
      <c r="E47" s="9">
        <v>500.0</v>
      </c>
      <c r="F47" s="9" t="s">
        <v>14</v>
      </c>
      <c r="G47" s="9">
        <v>250.0</v>
      </c>
      <c r="H47" s="10" t="s">
        <v>208</v>
      </c>
      <c r="I47" s="13" t="s">
        <v>322</v>
      </c>
      <c r="J47" s="18" t="s">
        <v>323</v>
      </c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5" t="s">
        <v>324</v>
      </c>
      <c r="B48" s="10" t="s">
        <v>325</v>
      </c>
      <c r="C48" s="9" t="s">
        <v>326</v>
      </c>
      <c r="D48" s="17" t="s">
        <v>327</v>
      </c>
      <c r="E48" s="9">
        <v>500.0</v>
      </c>
      <c r="F48" s="9" t="s">
        <v>14</v>
      </c>
      <c r="G48" s="9">
        <v>250.0</v>
      </c>
      <c r="H48" s="10" t="s">
        <v>328</v>
      </c>
      <c r="I48" s="13" t="s">
        <v>329</v>
      </c>
      <c r="J48" s="18" t="s">
        <v>330</v>
      </c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5" t="s">
        <v>331</v>
      </c>
      <c r="B49" s="10" t="s">
        <v>332</v>
      </c>
      <c r="C49" s="9" t="s">
        <v>333</v>
      </c>
      <c r="D49" s="17" t="s">
        <v>334</v>
      </c>
      <c r="E49" s="9">
        <v>500.0</v>
      </c>
      <c r="F49" s="9" t="s">
        <v>14</v>
      </c>
      <c r="G49" s="9">
        <v>250.0</v>
      </c>
      <c r="H49" s="10" t="s">
        <v>15</v>
      </c>
      <c r="I49" s="13" t="s">
        <v>335</v>
      </c>
      <c r="J49" s="18" t="s">
        <v>336</v>
      </c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5" t="s">
        <v>337</v>
      </c>
      <c r="B50" s="10" t="s">
        <v>338</v>
      </c>
      <c r="C50" s="9" t="s">
        <v>339</v>
      </c>
      <c r="D50" s="17" t="s">
        <v>340</v>
      </c>
      <c r="E50" s="9">
        <v>500.0</v>
      </c>
      <c r="F50" s="9" t="s">
        <v>14</v>
      </c>
      <c r="G50" s="9">
        <v>250.0</v>
      </c>
      <c r="H50" s="37" t="s">
        <v>341</v>
      </c>
      <c r="I50" s="13" t="s">
        <v>342</v>
      </c>
      <c r="J50" s="18" t="s">
        <v>343</v>
      </c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5" t="s">
        <v>344</v>
      </c>
      <c r="B51" s="10" t="s">
        <v>345</v>
      </c>
      <c r="C51" s="9" t="s">
        <v>346</v>
      </c>
      <c r="D51" s="17" t="s">
        <v>347</v>
      </c>
      <c r="E51" s="9">
        <v>500.0</v>
      </c>
      <c r="F51" s="9" t="s">
        <v>14</v>
      </c>
      <c r="G51" s="9">
        <v>250.0</v>
      </c>
      <c r="H51" s="10" t="s">
        <v>236</v>
      </c>
      <c r="I51" s="13" t="s">
        <v>348</v>
      </c>
      <c r="J51" s="18" t="s">
        <v>349</v>
      </c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5" t="s">
        <v>350</v>
      </c>
      <c r="B52" s="10" t="s">
        <v>351</v>
      </c>
      <c r="C52" s="9" t="s">
        <v>352</v>
      </c>
      <c r="D52" s="17" t="s">
        <v>353</v>
      </c>
      <c r="E52" s="9">
        <v>500.0</v>
      </c>
      <c r="F52" s="9" t="s">
        <v>14</v>
      </c>
      <c r="G52" s="9">
        <v>250.0</v>
      </c>
      <c r="H52" s="10" t="s">
        <v>42</v>
      </c>
      <c r="I52" s="13" t="s">
        <v>354</v>
      </c>
      <c r="J52" s="18" t="s">
        <v>355</v>
      </c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5" t="s">
        <v>356</v>
      </c>
      <c r="B53" s="10" t="s">
        <v>357</v>
      </c>
      <c r="C53" s="9" t="s">
        <v>358</v>
      </c>
      <c r="D53" s="17" t="s">
        <v>359</v>
      </c>
      <c r="E53" s="9">
        <v>500.0</v>
      </c>
      <c r="F53" s="9" t="s">
        <v>14</v>
      </c>
      <c r="G53" s="9">
        <v>250.0</v>
      </c>
      <c r="H53" s="10" t="s">
        <v>42</v>
      </c>
      <c r="I53" s="13" t="s">
        <v>360</v>
      </c>
      <c r="J53" s="18" t="s">
        <v>361</v>
      </c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5" t="s">
        <v>362</v>
      </c>
      <c r="B54" s="10" t="s">
        <v>363</v>
      </c>
      <c r="C54" s="9" t="s">
        <v>364</v>
      </c>
      <c r="D54" s="17" t="s">
        <v>365</v>
      </c>
      <c r="E54" s="9">
        <v>500.0</v>
      </c>
      <c r="F54" s="9" t="s">
        <v>14</v>
      </c>
      <c r="G54" s="9">
        <v>250.0</v>
      </c>
      <c r="H54" s="10" t="s">
        <v>366</v>
      </c>
      <c r="I54" s="13" t="s">
        <v>367</v>
      </c>
      <c r="J54" s="18" t="s">
        <v>368</v>
      </c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" t="s">
        <v>369</v>
      </c>
      <c r="B55" s="10" t="s">
        <v>370</v>
      </c>
      <c r="C55" s="9" t="s">
        <v>20</v>
      </c>
      <c r="D55" s="17" t="s">
        <v>371</v>
      </c>
      <c r="E55" s="9">
        <v>250.0</v>
      </c>
      <c r="F55" s="9" t="s">
        <v>14</v>
      </c>
      <c r="G55" s="9">
        <v>100.0</v>
      </c>
      <c r="H55" s="10" t="s">
        <v>372</v>
      </c>
      <c r="I55" s="13" t="s">
        <v>373</v>
      </c>
      <c r="J55" s="18" t="s">
        <v>374</v>
      </c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5" t="s">
        <v>375</v>
      </c>
      <c r="B56" s="10" t="s">
        <v>376</v>
      </c>
      <c r="C56" s="9" t="s">
        <v>377</v>
      </c>
      <c r="D56" s="17" t="s">
        <v>378</v>
      </c>
      <c r="E56" s="9">
        <v>1000.0</v>
      </c>
      <c r="F56" s="9" t="s">
        <v>14</v>
      </c>
      <c r="G56" s="9">
        <v>250.0</v>
      </c>
      <c r="H56" s="10" t="s">
        <v>379</v>
      </c>
      <c r="I56" s="13" t="s">
        <v>380</v>
      </c>
      <c r="J56" s="18" t="s">
        <v>381</v>
      </c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5" t="s">
        <v>382</v>
      </c>
      <c r="B57" s="10" t="s">
        <v>383</v>
      </c>
      <c r="C57" s="43" t="s">
        <v>384</v>
      </c>
      <c r="D57" s="17" t="s">
        <v>385</v>
      </c>
      <c r="E57" s="9">
        <v>1000.0</v>
      </c>
      <c r="F57" s="9" t="s">
        <v>14</v>
      </c>
      <c r="G57" s="9">
        <v>250.0</v>
      </c>
      <c r="H57" s="10" t="s">
        <v>386</v>
      </c>
      <c r="I57" s="13" t="s">
        <v>387</v>
      </c>
      <c r="J57" s="18" t="s">
        <v>388</v>
      </c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" t="s">
        <v>389</v>
      </c>
      <c r="B58" s="10" t="s">
        <v>390</v>
      </c>
      <c r="C58" s="9" t="s">
        <v>391</v>
      </c>
      <c r="D58" s="17" t="s">
        <v>392</v>
      </c>
      <c r="E58" s="9">
        <v>1000.0</v>
      </c>
      <c r="F58" s="9" t="s">
        <v>315</v>
      </c>
      <c r="G58" s="9">
        <v>250.0</v>
      </c>
      <c r="H58" s="10" t="s">
        <v>112</v>
      </c>
      <c r="I58" s="13" t="s">
        <v>393</v>
      </c>
      <c r="J58" s="18" t="s">
        <v>394</v>
      </c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5" t="s">
        <v>395</v>
      </c>
      <c r="B59" s="44" t="s">
        <v>396</v>
      </c>
      <c r="C59" s="9" t="s">
        <v>397</v>
      </c>
      <c r="D59" s="17" t="s">
        <v>398</v>
      </c>
      <c r="E59" s="9">
        <v>500.0</v>
      </c>
      <c r="F59" s="9" t="s">
        <v>315</v>
      </c>
      <c r="G59" s="9">
        <v>250.0</v>
      </c>
      <c r="H59" s="10" t="s">
        <v>112</v>
      </c>
      <c r="I59" s="13" t="s">
        <v>399</v>
      </c>
      <c r="J59" s="18" t="s">
        <v>400</v>
      </c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5" t="s">
        <v>401</v>
      </c>
      <c r="B60" s="10" t="s">
        <v>402</v>
      </c>
      <c r="C60" s="9" t="s">
        <v>403</v>
      </c>
      <c r="D60" s="17" t="s">
        <v>404</v>
      </c>
      <c r="E60" s="9">
        <v>1000.0</v>
      </c>
      <c r="F60" s="9" t="s">
        <v>14</v>
      </c>
      <c r="G60" s="9">
        <v>250.0</v>
      </c>
      <c r="H60" s="10" t="s">
        <v>366</v>
      </c>
      <c r="I60" s="13" t="s">
        <v>405</v>
      </c>
      <c r="J60" s="18" t="s">
        <v>406</v>
      </c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5" t="s">
        <v>407</v>
      </c>
      <c r="B61" s="10" t="s">
        <v>408</v>
      </c>
      <c r="C61" s="9" t="s">
        <v>409</v>
      </c>
      <c r="D61" s="17" t="s">
        <v>410</v>
      </c>
      <c r="E61" s="9">
        <v>1000.0</v>
      </c>
      <c r="F61" s="9" t="s">
        <v>14</v>
      </c>
      <c r="G61" s="9">
        <v>250.0</v>
      </c>
      <c r="H61" s="10" t="s">
        <v>411</v>
      </c>
      <c r="I61" s="13" t="s">
        <v>360</v>
      </c>
      <c r="J61" s="18" t="s">
        <v>412</v>
      </c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5" t="s">
        <v>413</v>
      </c>
      <c r="B62" s="33" t="s">
        <v>414</v>
      </c>
      <c r="C62" s="9" t="s">
        <v>415</v>
      </c>
      <c r="D62" s="17" t="s">
        <v>416</v>
      </c>
      <c r="E62" s="9">
        <v>250.0</v>
      </c>
      <c r="F62" s="9" t="s">
        <v>14</v>
      </c>
      <c r="G62" s="9">
        <v>100.0</v>
      </c>
      <c r="H62" s="10" t="s">
        <v>417</v>
      </c>
      <c r="I62" s="13" t="s">
        <v>418</v>
      </c>
      <c r="J62" s="18" t="s">
        <v>419</v>
      </c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5" t="s">
        <v>420</v>
      </c>
      <c r="B63" s="33" t="s">
        <v>421</v>
      </c>
      <c r="C63" s="9" t="s">
        <v>422</v>
      </c>
      <c r="D63" s="17" t="s">
        <v>423</v>
      </c>
      <c r="E63" s="9">
        <v>500.0</v>
      </c>
      <c r="F63" s="9" t="s">
        <v>14</v>
      </c>
      <c r="G63" s="9">
        <v>250.0</v>
      </c>
      <c r="H63" s="10" t="s">
        <v>424</v>
      </c>
      <c r="I63" s="13" t="s">
        <v>425</v>
      </c>
      <c r="J63" s="18" t="s">
        <v>426</v>
      </c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5" t="s">
        <v>427</v>
      </c>
      <c r="B64" s="33" t="s">
        <v>428</v>
      </c>
      <c r="C64" s="21" t="s">
        <v>429</v>
      </c>
      <c r="D64" s="17" t="s">
        <v>430</v>
      </c>
      <c r="E64" s="9">
        <v>500.0</v>
      </c>
      <c r="F64" s="9" t="s">
        <v>14</v>
      </c>
      <c r="G64" s="9">
        <v>250.0</v>
      </c>
      <c r="H64" s="10"/>
      <c r="I64" s="13" t="s">
        <v>431</v>
      </c>
      <c r="J64" s="18" t="s">
        <v>432</v>
      </c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5" t="s">
        <v>433</v>
      </c>
      <c r="B65" s="10" t="s">
        <v>434</v>
      </c>
      <c r="C65" s="45" t="s">
        <v>435</v>
      </c>
      <c r="D65" s="17" t="s">
        <v>436</v>
      </c>
      <c r="E65" s="9">
        <v>25.0</v>
      </c>
      <c r="F65" s="9" t="s">
        <v>14</v>
      </c>
      <c r="G65" s="9">
        <v>10.0</v>
      </c>
      <c r="H65" s="10" t="s">
        <v>386</v>
      </c>
      <c r="I65" s="13" t="s">
        <v>434</v>
      </c>
      <c r="J65" s="18" t="s">
        <v>437</v>
      </c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5" t="s">
        <v>438</v>
      </c>
      <c r="B66" s="10" t="s">
        <v>439</v>
      </c>
      <c r="C66" s="21" t="s">
        <v>440</v>
      </c>
      <c r="D66" s="17" t="s">
        <v>441</v>
      </c>
      <c r="E66" s="9">
        <v>100.0</v>
      </c>
      <c r="F66" s="9" t="s">
        <v>14</v>
      </c>
      <c r="G66" s="9">
        <v>50.0</v>
      </c>
      <c r="H66" s="10" t="s">
        <v>442</v>
      </c>
      <c r="I66" s="13" t="s">
        <v>443</v>
      </c>
      <c r="J66" s="18" t="s">
        <v>444</v>
      </c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5" t="s">
        <v>445</v>
      </c>
      <c r="B67" s="10" t="s">
        <v>446</v>
      </c>
      <c r="C67" s="9" t="s">
        <v>447</v>
      </c>
      <c r="D67" s="17" t="s">
        <v>448</v>
      </c>
      <c r="E67" s="9">
        <v>500.0</v>
      </c>
      <c r="F67" s="9" t="s">
        <v>14</v>
      </c>
      <c r="G67" s="9">
        <v>50.0</v>
      </c>
      <c r="H67" s="10" t="s">
        <v>449</v>
      </c>
      <c r="I67" s="13" t="s">
        <v>450</v>
      </c>
      <c r="J67" s="18" t="s">
        <v>451</v>
      </c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5" t="s">
        <v>452</v>
      </c>
      <c r="B68" s="10" t="s">
        <v>453</v>
      </c>
      <c r="C68" s="9" t="s">
        <v>454</v>
      </c>
      <c r="D68" s="17" t="s">
        <v>455</v>
      </c>
      <c r="E68" s="9">
        <v>100.0</v>
      </c>
      <c r="F68" s="9" t="s">
        <v>14</v>
      </c>
      <c r="G68" s="9">
        <v>50.0</v>
      </c>
      <c r="H68" s="10"/>
      <c r="I68" s="13" t="s">
        <v>456</v>
      </c>
      <c r="J68" s="18" t="s">
        <v>457</v>
      </c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5" t="s">
        <v>458</v>
      </c>
      <c r="B69" s="10" t="s">
        <v>459</v>
      </c>
      <c r="C69" s="9" t="s">
        <v>460</v>
      </c>
      <c r="D69" s="17" t="s">
        <v>461</v>
      </c>
      <c r="E69" s="9">
        <v>50.0</v>
      </c>
      <c r="F69" s="9" t="s">
        <v>14</v>
      </c>
      <c r="G69" s="9">
        <v>10.0</v>
      </c>
      <c r="H69" s="10" t="s">
        <v>42</v>
      </c>
      <c r="I69" s="13" t="s">
        <v>462</v>
      </c>
      <c r="J69" s="18" t="s">
        <v>463</v>
      </c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5" t="s">
        <v>464</v>
      </c>
      <c r="B70" s="10" t="s">
        <v>465</v>
      </c>
      <c r="C70" s="9" t="s">
        <v>466</v>
      </c>
      <c r="D70" s="17" t="s">
        <v>467</v>
      </c>
      <c r="E70" s="9">
        <v>500.0</v>
      </c>
      <c r="F70" s="9" t="s">
        <v>14</v>
      </c>
      <c r="G70" s="9">
        <v>100.0</v>
      </c>
      <c r="H70" s="10"/>
      <c r="I70" s="13" t="s">
        <v>468</v>
      </c>
      <c r="J70" s="18" t="s">
        <v>469</v>
      </c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5" t="s">
        <v>470</v>
      </c>
      <c r="B71" s="33" t="s">
        <v>471</v>
      </c>
      <c r="C71" s="9" t="s">
        <v>20</v>
      </c>
      <c r="D71" s="17" t="s">
        <v>472</v>
      </c>
      <c r="E71" s="9">
        <v>500.0</v>
      </c>
      <c r="F71" s="46" t="s">
        <v>14</v>
      </c>
      <c r="G71" s="9">
        <v>100.0</v>
      </c>
      <c r="H71" s="10" t="s">
        <v>473</v>
      </c>
      <c r="I71" s="13" t="s">
        <v>474</v>
      </c>
      <c r="J71" s="18" t="s">
        <v>475</v>
      </c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5" t="s">
        <v>476</v>
      </c>
      <c r="B72" s="47" t="s">
        <v>477</v>
      </c>
      <c r="C72" s="9" t="s">
        <v>20</v>
      </c>
      <c r="D72" s="17" t="s">
        <v>478</v>
      </c>
      <c r="E72" s="9">
        <v>500.0</v>
      </c>
      <c r="F72" s="9" t="s">
        <v>14</v>
      </c>
      <c r="G72" s="9">
        <v>100.0</v>
      </c>
      <c r="H72" s="16" t="s">
        <v>479</v>
      </c>
      <c r="I72" s="13" t="s">
        <v>480</v>
      </c>
      <c r="J72" s="18" t="s">
        <v>481</v>
      </c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5" t="s">
        <v>482</v>
      </c>
      <c r="B73" s="33" t="s">
        <v>483</v>
      </c>
      <c r="C73" s="9" t="s">
        <v>484</v>
      </c>
      <c r="D73" s="17" t="s">
        <v>485</v>
      </c>
      <c r="E73" s="9">
        <v>100.0</v>
      </c>
      <c r="F73" s="9" t="s">
        <v>14</v>
      </c>
      <c r="G73" s="9">
        <v>10.0</v>
      </c>
      <c r="H73" s="10" t="s">
        <v>417</v>
      </c>
      <c r="I73" s="13" t="s">
        <v>486</v>
      </c>
      <c r="J73" s="18" t="s">
        <v>487</v>
      </c>
      <c r="K73" s="5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5" t="s">
        <v>488</v>
      </c>
      <c r="B74" s="47" t="s">
        <v>489</v>
      </c>
      <c r="C74" s="9" t="s">
        <v>490</v>
      </c>
      <c r="D74" s="17" t="s">
        <v>491</v>
      </c>
      <c r="E74" s="9">
        <v>100.0</v>
      </c>
      <c r="F74" s="9" t="s">
        <v>14</v>
      </c>
      <c r="G74" s="9">
        <v>10.0</v>
      </c>
      <c r="H74" s="10"/>
      <c r="I74" s="13" t="s">
        <v>492</v>
      </c>
      <c r="J74" s="18" t="s">
        <v>493</v>
      </c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5" t="s">
        <v>494</v>
      </c>
      <c r="B75" s="33" t="s">
        <v>495</v>
      </c>
      <c r="C75" s="9" t="s">
        <v>496</v>
      </c>
      <c r="D75" s="17" t="s">
        <v>497</v>
      </c>
      <c r="E75" s="9">
        <v>500.0</v>
      </c>
      <c r="F75" s="9" t="s">
        <v>14</v>
      </c>
      <c r="G75" s="9">
        <v>100.0</v>
      </c>
      <c r="H75" s="10" t="s">
        <v>498</v>
      </c>
      <c r="I75" s="13" t="s">
        <v>499</v>
      </c>
      <c r="J75" s="18" t="s">
        <v>500</v>
      </c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5" t="s">
        <v>501</v>
      </c>
      <c r="B76" s="48" t="s">
        <v>502</v>
      </c>
      <c r="C76" s="9" t="s">
        <v>20</v>
      </c>
      <c r="D76" s="17" t="s">
        <v>503</v>
      </c>
      <c r="E76" s="9">
        <v>10.0</v>
      </c>
      <c r="F76" s="9" t="s">
        <v>14</v>
      </c>
      <c r="G76" s="9">
        <v>1.0</v>
      </c>
      <c r="H76" s="10" t="s">
        <v>504</v>
      </c>
      <c r="I76" s="13" t="s">
        <v>505</v>
      </c>
      <c r="J76" s="18" t="s">
        <v>506</v>
      </c>
      <c r="K76" s="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5" t="s">
        <v>507</v>
      </c>
      <c r="B77" s="47" t="s">
        <v>508</v>
      </c>
      <c r="C77" s="9" t="s">
        <v>509</v>
      </c>
      <c r="D77" s="17" t="s">
        <v>510</v>
      </c>
      <c r="E77" s="9">
        <v>1000.0</v>
      </c>
      <c r="F77" s="9" t="s">
        <v>14</v>
      </c>
      <c r="G77" s="9">
        <v>100.0</v>
      </c>
      <c r="H77" s="10" t="s">
        <v>42</v>
      </c>
      <c r="I77" s="13" t="s">
        <v>511</v>
      </c>
      <c r="J77" s="18" t="s">
        <v>512</v>
      </c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5" t="s">
        <v>513</v>
      </c>
      <c r="B78" s="47" t="s">
        <v>514</v>
      </c>
      <c r="C78" s="9" t="s">
        <v>515</v>
      </c>
      <c r="D78" s="17" t="s">
        <v>516</v>
      </c>
      <c r="E78" s="9">
        <v>25.0</v>
      </c>
      <c r="F78" s="9" t="s">
        <v>14</v>
      </c>
      <c r="G78" s="9">
        <v>5.0</v>
      </c>
      <c r="H78" s="10" t="s">
        <v>366</v>
      </c>
      <c r="I78" s="13" t="s">
        <v>517</v>
      </c>
      <c r="J78" s="18" t="s">
        <v>518</v>
      </c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5" t="s">
        <v>519</v>
      </c>
      <c r="B79" s="47" t="s">
        <v>520</v>
      </c>
      <c r="C79" s="9" t="s">
        <v>521</v>
      </c>
      <c r="D79" s="17" t="s">
        <v>522</v>
      </c>
      <c r="E79" s="9">
        <v>500.0</v>
      </c>
      <c r="F79" s="9" t="s">
        <v>14</v>
      </c>
      <c r="G79" s="9">
        <v>100.0</v>
      </c>
      <c r="H79" s="10" t="s">
        <v>417</v>
      </c>
      <c r="I79" s="13" t="s">
        <v>523</v>
      </c>
      <c r="J79" s="18" t="s">
        <v>524</v>
      </c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" t="s">
        <v>525</v>
      </c>
      <c r="B80" s="47" t="s">
        <v>526</v>
      </c>
      <c r="C80" s="9" t="s">
        <v>20</v>
      </c>
      <c r="D80" s="17" t="s">
        <v>527</v>
      </c>
      <c r="E80" s="9">
        <v>2.0</v>
      </c>
      <c r="F80" s="9" t="s">
        <v>528</v>
      </c>
      <c r="G80" s="9">
        <v>1.0</v>
      </c>
      <c r="H80" s="16" t="s">
        <v>529</v>
      </c>
      <c r="I80" s="13" t="s">
        <v>530</v>
      </c>
      <c r="J80" s="18" t="s">
        <v>531</v>
      </c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9" t="s">
        <v>532</v>
      </c>
      <c r="B81" s="50" t="s">
        <v>533</v>
      </c>
      <c r="C81" s="49" t="s">
        <v>20</v>
      </c>
      <c r="D81" s="51" t="s">
        <v>534</v>
      </c>
      <c r="E81" s="49">
        <v>240.0</v>
      </c>
      <c r="F81" s="49" t="s">
        <v>528</v>
      </c>
      <c r="G81" s="49">
        <v>50.0</v>
      </c>
      <c r="H81" s="52" t="s">
        <v>535</v>
      </c>
      <c r="I81" s="53" t="s">
        <v>536</v>
      </c>
      <c r="J81" s="54" t="s">
        <v>537</v>
      </c>
      <c r="K81" s="55"/>
      <c r="L81" s="55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49" t="s">
        <v>538</v>
      </c>
      <c r="B82" s="50" t="s">
        <v>539</v>
      </c>
      <c r="C82" s="49" t="s">
        <v>20</v>
      </c>
      <c r="D82" s="51" t="s">
        <v>540</v>
      </c>
      <c r="E82" s="49">
        <v>500.0</v>
      </c>
      <c r="F82" s="49" t="s">
        <v>14</v>
      </c>
      <c r="G82" s="49">
        <v>100.0</v>
      </c>
      <c r="H82" s="52" t="s">
        <v>541</v>
      </c>
      <c r="I82" s="53" t="s">
        <v>542</v>
      </c>
      <c r="J82" s="54" t="s">
        <v>543</v>
      </c>
      <c r="K82" s="55"/>
      <c r="L82" s="55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49" t="s">
        <v>544</v>
      </c>
      <c r="B83" s="47" t="s">
        <v>545</v>
      </c>
      <c r="C83" s="9" t="s">
        <v>546</v>
      </c>
      <c r="D83" s="17" t="s">
        <v>547</v>
      </c>
      <c r="E83" s="9">
        <v>100.0</v>
      </c>
      <c r="F83" s="9" t="s">
        <v>14</v>
      </c>
      <c r="G83" s="9">
        <v>10.0</v>
      </c>
      <c r="H83" s="10" t="s">
        <v>548</v>
      </c>
      <c r="I83" s="13" t="s">
        <v>549</v>
      </c>
      <c r="J83" s="18" t="s">
        <v>550</v>
      </c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9" t="s">
        <v>551</v>
      </c>
      <c r="B84" s="47" t="s">
        <v>552</v>
      </c>
      <c r="C84" s="9" t="s">
        <v>553</v>
      </c>
      <c r="D84" s="17" t="s">
        <v>554</v>
      </c>
      <c r="E84" s="9">
        <v>500.0</v>
      </c>
      <c r="F84" s="9" t="s">
        <v>14</v>
      </c>
      <c r="G84" s="9">
        <v>100.0</v>
      </c>
      <c r="H84" s="10" t="s">
        <v>555</v>
      </c>
      <c r="I84" s="13" t="s">
        <v>556</v>
      </c>
      <c r="J84" s="18" t="s">
        <v>557</v>
      </c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" t="s">
        <v>558</v>
      </c>
      <c r="B85" s="47" t="s">
        <v>559</v>
      </c>
      <c r="C85" s="9" t="s">
        <v>560</v>
      </c>
      <c r="D85" s="17" t="s">
        <v>561</v>
      </c>
      <c r="E85" s="9">
        <v>100.0</v>
      </c>
      <c r="F85" s="9" t="s">
        <v>562</v>
      </c>
      <c r="G85" s="9">
        <v>10.0</v>
      </c>
      <c r="H85" s="10" t="s">
        <v>563</v>
      </c>
      <c r="I85" s="13" t="s">
        <v>564</v>
      </c>
      <c r="J85" s="18" t="s">
        <v>565</v>
      </c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9" t="s">
        <v>566</v>
      </c>
      <c r="B86" s="50" t="s">
        <v>567</v>
      </c>
      <c r="C86" s="49" t="s">
        <v>20</v>
      </c>
      <c r="D86" s="51" t="s">
        <v>568</v>
      </c>
      <c r="E86" s="49">
        <v>200.0</v>
      </c>
      <c r="F86" s="49" t="s">
        <v>562</v>
      </c>
      <c r="G86" s="49">
        <v>50.0</v>
      </c>
      <c r="H86" s="52" t="s">
        <v>569</v>
      </c>
      <c r="I86" s="53" t="s">
        <v>570</v>
      </c>
      <c r="J86" s="54" t="s">
        <v>571</v>
      </c>
      <c r="K86" s="55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49" t="s">
        <v>572</v>
      </c>
      <c r="B87" s="50" t="s">
        <v>573</v>
      </c>
      <c r="C87" s="49" t="s">
        <v>20</v>
      </c>
      <c r="D87" s="51" t="s">
        <v>574</v>
      </c>
      <c r="E87" s="49">
        <v>100.0</v>
      </c>
      <c r="F87" s="49" t="s">
        <v>562</v>
      </c>
      <c r="G87" s="49">
        <v>25.0</v>
      </c>
      <c r="H87" s="52" t="s">
        <v>569</v>
      </c>
      <c r="I87" s="57" t="s">
        <v>20</v>
      </c>
      <c r="J87" s="54" t="s">
        <v>575</v>
      </c>
      <c r="K87" s="55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49" t="s">
        <v>576</v>
      </c>
      <c r="B88" s="47" t="s">
        <v>577</v>
      </c>
      <c r="C88" s="9" t="s">
        <v>578</v>
      </c>
      <c r="D88" s="17" t="s">
        <v>579</v>
      </c>
      <c r="E88" s="9">
        <v>500.0</v>
      </c>
      <c r="F88" s="9" t="s">
        <v>14</v>
      </c>
      <c r="G88" s="9">
        <v>100.0</v>
      </c>
      <c r="H88" s="10" t="s">
        <v>42</v>
      </c>
      <c r="I88" s="13" t="s">
        <v>580</v>
      </c>
      <c r="J88" s="18" t="s">
        <v>581</v>
      </c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9" t="s">
        <v>582</v>
      </c>
      <c r="B89" s="47" t="s">
        <v>583</v>
      </c>
      <c r="C89" s="9" t="s">
        <v>584</v>
      </c>
      <c r="D89" s="17" t="s">
        <v>585</v>
      </c>
      <c r="E89" s="9">
        <v>100.0</v>
      </c>
      <c r="F89" s="9" t="s">
        <v>14</v>
      </c>
      <c r="G89" s="9">
        <v>10.0</v>
      </c>
      <c r="H89" s="10" t="s">
        <v>504</v>
      </c>
      <c r="I89" s="13" t="s">
        <v>586</v>
      </c>
      <c r="J89" s="18" t="s">
        <v>587</v>
      </c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58" t="s">
        <v>588</v>
      </c>
      <c r="B90" s="47" t="s">
        <v>589</v>
      </c>
      <c r="C90" s="9" t="s">
        <v>590</v>
      </c>
      <c r="D90" s="17" t="s">
        <v>591</v>
      </c>
      <c r="E90" s="9">
        <v>250.0</v>
      </c>
      <c r="F90" s="9" t="s">
        <v>14</v>
      </c>
      <c r="G90" s="9">
        <v>10.0</v>
      </c>
      <c r="H90" s="17" t="s">
        <v>590</v>
      </c>
      <c r="I90" s="13" t="s">
        <v>592</v>
      </c>
      <c r="J90" s="18" t="s">
        <v>593</v>
      </c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9" t="s">
        <v>594</v>
      </c>
      <c r="B91" s="59" t="s">
        <v>595</v>
      </c>
      <c r="C91" s="9" t="s">
        <v>596</v>
      </c>
      <c r="D91" s="17" t="s">
        <v>597</v>
      </c>
      <c r="E91" s="9">
        <v>1000.0</v>
      </c>
      <c r="F91" s="9" t="s">
        <v>14</v>
      </c>
      <c r="G91" s="9">
        <v>10.0</v>
      </c>
      <c r="H91" s="10"/>
      <c r="I91" s="13" t="s">
        <v>598</v>
      </c>
      <c r="J91" s="18" t="s">
        <v>599</v>
      </c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" t="s">
        <v>600</v>
      </c>
      <c r="B92" s="59" t="s">
        <v>601</v>
      </c>
      <c r="C92" s="60" t="s">
        <v>602</v>
      </c>
      <c r="D92" s="61" t="s">
        <v>603</v>
      </c>
      <c r="E92" s="9">
        <v>100.0</v>
      </c>
      <c r="F92" s="9" t="s">
        <v>14</v>
      </c>
      <c r="G92" s="9">
        <v>10.0</v>
      </c>
      <c r="H92" s="10" t="s">
        <v>42</v>
      </c>
      <c r="I92" s="13" t="s">
        <v>604</v>
      </c>
      <c r="J92" s="18" t="s">
        <v>605</v>
      </c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9" t="s">
        <v>606</v>
      </c>
      <c r="B93" s="59" t="s">
        <v>607</v>
      </c>
      <c r="C93" s="60" t="s">
        <v>608</v>
      </c>
      <c r="D93" s="61" t="s">
        <v>609</v>
      </c>
      <c r="E93" s="9">
        <v>100.0</v>
      </c>
      <c r="F93" s="9" t="s">
        <v>14</v>
      </c>
      <c r="G93" s="9">
        <v>10.0</v>
      </c>
      <c r="H93" s="10" t="s">
        <v>417</v>
      </c>
      <c r="I93" s="13" t="s">
        <v>610</v>
      </c>
      <c r="J93" s="18" t="s">
        <v>611</v>
      </c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9" t="s">
        <v>612</v>
      </c>
      <c r="B94" s="59" t="s">
        <v>613</v>
      </c>
      <c r="C94" s="60" t="s">
        <v>614</v>
      </c>
      <c r="D94" s="61" t="s">
        <v>615</v>
      </c>
      <c r="E94" s="9">
        <v>250.0</v>
      </c>
      <c r="F94" s="9" t="s">
        <v>14</v>
      </c>
      <c r="G94" s="9">
        <v>10.0</v>
      </c>
      <c r="H94" s="10" t="s">
        <v>449</v>
      </c>
      <c r="I94" s="13" t="s">
        <v>616</v>
      </c>
      <c r="J94" s="18" t="s">
        <v>617</v>
      </c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9" t="s">
        <v>618</v>
      </c>
      <c r="B95" s="59" t="s">
        <v>619</v>
      </c>
      <c r="C95" s="60" t="s">
        <v>20</v>
      </c>
      <c r="D95" s="62" t="s">
        <v>620</v>
      </c>
      <c r="E95" s="9">
        <v>0.1</v>
      </c>
      <c r="F95" s="9" t="s">
        <v>14</v>
      </c>
      <c r="G95" s="9">
        <v>0.01</v>
      </c>
      <c r="H95" s="10" t="s">
        <v>15</v>
      </c>
      <c r="I95" s="63" t="s">
        <v>621</v>
      </c>
      <c r="J95" s="18" t="s">
        <v>622</v>
      </c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9" t="s">
        <v>623</v>
      </c>
      <c r="B96" s="59" t="s">
        <v>624</v>
      </c>
      <c r="C96" s="60" t="s">
        <v>625</v>
      </c>
      <c r="D96" s="61" t="s">
        <v>626</v>
      </c>
      <c r="E96" s="9">
        <v>10.0</v>
      </c>
      <c r="F96" s="9" t="s">
        <v>315</v>
      </c>
      <c r="G96" s="9">
        <v>1.0</v>
      </c>
      <c r="H96" s="10" t="s">
        <v>627</v>
      </c>
      <c r="I96" s="63" t="s">
        <v>628</v>
      </c>
      <c r="J96" s="18" t="s">
        <v>629</v>
      </c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9" t="s">
        <v>630</v>
      </c>
      <c r="B97" s="59" t="s">
        <v>631</v>
      </c>
      <c r="C97" s="60" t="s">
        <v>632</v>
      </c>
      <c r="D97" s="61" t="s">
        <v>633</v>
      </c>
      <c r="E97" s="9">
        <v>500.0</v>
      </c>
      <c r="F97" s="9" t="s">
        <v>315</v>
      </c>
      <c r="G97" s="9">
        <v>10.0</v>
      </c>
      <c r="H97" s="10" t="s">
        <v>634</v>
      </c>
      <c r="I97" s="63" t="s">
        <v>635</v>
      </c>
      <c r="J97" s="18" t="s">
        <v>636</v>
      </c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9" t="s">
        <v>637</v>
      </c>
      <c r="B98" s="64" t="s">
        <v>638</v>
      </c>
      <c r="C98" s="65" t="s">
        <v>20</v>
      </c>
      <c r="D98" s="66" t="s">
        <v>639</v>
      </c>
      <c r="E98" s="49">
        <v>10.0</v>
      </c>
      <c r="F98" s="49" t="s">
        <v>562</v>
      </c>
      <c r="G98" s="49">
        <v>1.0</v>
      </c>
      <c r="H98" s="52" t="s">
        <v>640</v>
      </c>
      <c r="I98" s="67" t="s">
        <v>641</v>
      </c>
      <c r="J98" s="54" t="s">
        <v>642</v>
      </c>
      <c r="K98" s="55"/>
      <c r="L98" s="55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49" t="s">
        <v>643</v>
      </c>
      <c r="B99" s="68" t="s">
        <v>644</v>
      </c>
      <c r="C99" s="65" t="s">
        <v>645</v>
      </c>
      <c r="D99" s="66" t="s">
        <v>646</v>
      </c>
      <c r="E99" s="49">
        <v>250.0</v>
      </c>
      <c r="F99" s="49" t="s">
        <v>14</v>
      </c>
      <c r="G99" s="49">
        <v>10.0</v>
      </c>
      <c r="H99" s="52" t="s">
        <v>417</v>
      </c>
      <c r="I99" s="67" t="s">
        <v>647</v>
      </c>
      <c r="J99" s="54" t="s">
        <v>648</v>
      </c>
      <c r="K99" s="55"/>
      <c r="L99" s="55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49" t="s">
        <v>649</v>
      </c>
      <c r="B100" s="68" t="s">
        <v>650</v>
      </c>
      <c r="C100" s="65" t="s">
        <v>20</v>
      </c>
      <c r="D100" s="66"/>
      <c r="E100" s="49">
        <v>50.0</v>
      </c>
      <c r="F100" s="49" t="s">
        <v>651</v>
      </c>
      <c r="G100" s="49">
        <v>10.0</v>
      </c>
      <c r="H100" s="52" t="s">
        <v>42</v>
      </c>
      <c r="I100" s="69"/>
      <c r="J100" s="70" t="s">
        <v>652</v>
      </c>
      <c r="K100" s="55"/>
      <c r="L100" s="55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49" t="s">
        <v>653</v>
      </c>
      <c r="B101" s="68" t="s">
        <v>654</v>
      </c>
      <c r="C101" s="65" t="s">
        <v>655</v>
      </c>
      <c r="D101" s="66" t="s">
        <v>656</v>
      </c>
      <c r="E101" s="49">
        <v>25.0</v>
      </c>
      <c r="F101" s="49" t="s">
        <v>14</v>
      </c>
      <c r="G101" s="49">
        <v>10.0</v>
      </c>
      <c r="H101" s="52"/>
      <c r="I101" s="69"/>
      <c r="J101" s="70" t="s">
        <v>657</v>
      </c>
      <c r="K101" s="55"/>
      <c r="L101" s="55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9" t="s">
        <v>658</v>
      </c>
      <c r="B102" s="59" t="s">
        <v>659</v>
      </c>
      <c r="C102" s="21" t="s">
        <v>660</v>
      </c>
      <c r="D102" s="61" t="s">
        <v>661</v>
      </c>
      <c r="E102" s="9">
        <v>500.0</v>
      </c>
      <c r="F102" s="9" t="s">
        <v>14</v>
      </c>
      <c r="G102" s="9">
        <v>10.0</v>
      </c>
      <c r="H102" s="10"/>
      <c r="I102" s="71"/>
      <c r="J102" s="18" t="s">
        <v>662</v>
      </c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9" t="s">
        <v>663</v>
      </c>
      <c r="B103" s="64" t="s">
        <v>664</v>
      </c>
      <c r="C103" s="65" t="s">
        <v>20</v>
      </c>
      <c r="D103" s="66" t="s">
        <v>665</v>
      </c>
      <c r="E103" s="49">
        <v>10.0</v>
      </c>
      <c r="F103" s="49" t="s">
        <v>562</v>
      </c>
      <c r="G103" s="49">
        <v>1.0</v>
      </c>
      <c r="H103" s="52" t="s">
        <v>640</v>
      </c>
      <c r="I103" s="67" t="s">
        <v>666</v>
      </c>
      <c r="J103" s="54" t="s">
        <v>667</v>
      </c>
      <c r="K103" s="55"/>
      <c r="L103" s="55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49" t="s">
        <v>668</v>
      </c>
      <c r="B104" s="68" t="s">
        <v>669</v>
      </c>
      <c r="C104" s="65" t="s">
        <v>670</v>
      </c>
      <c r="D104" s="66" t="s">
        <v>671</v>
      </c>
      <c r="E104" s="49">
        <v>500.0</v>
      </c>
      <c r="F104" s="49" t="s">
        <v>14</v>
      </c>
      <c r="G104" s="49">
        <v>25.0</v>
      </c>
      <c r="H104" s="52" t="s">
        <v>386</v>
      </c>
      <c r="I104" s="69"/>
      <c r="J104" s="70" t="s">
        <v>672</v>
      </c>
      <c r="K104" s="55"/>
      <c r="L104" s="55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49" t="s">
        <v>673</v>
      </c>
      <c r="B105" s="68" t="s">
        <v>674</v>
      </c>
      <c r="C105" s="65" t="s">
        <v>675</v>
      </c>
      <c r="D105" s="66" t="s">
        <v>676</v>
      </c>
      <c r="E105" s="49">
        <v>25.0</v>
      </c>
      <c r="F105" s="49" t="s">
        <v>14</v>
      </c>
      <c r="G105" s="49">
        <v>10.0</v>
      </c>
      <c r="H105" s="52" t="s">
        <v>366</v>
      </c>
      <c r="I105" s="67" t="s">
        <v>677</v>
      </c>
      <c r="J105" s="54" t="s">
        <v>678</v>
      </c>
      <c r="K105" s="55"/>
      <c r="L105" s="55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9" t="s">
        <v>679</v>
      </c>
      <c r="B106" s="59" t="s">
        <v>680</v>
      </c>
      <c r="C106" s="21" t="s">
        <v>681</v>
      </c>
      <c r="D106" s="61" t="s">
        <v>682</v>
      </c>
      <c r="E106" s="9">
        <v>500.0</v>
      </c>
      <c r="F106" s="9" t="s">
        <v>14</v>
      </c>
      <c r="G106" s="9">
        <v>25.0</v>
      </c>
      <c r="H106" s="10" t="s">
        <v>42</v>
      </c>
      <c r="I106" s="71"/>
      <c r="J106" s="72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9" t="s">
        <v>683</v>
      </c>
      <c r="B107" s="59" t="s">
        <v>684</v>
      </c>
      <c r="C107" s="21" t="s">
        <v>685</v>
      </c>
      <c r="D107" s="61" t="s">
        <v>686</v>
      </c>
      <c r="E107" s="9">
        <v>100.0</v>
      </c>
      <c r="F107" s="9" t="s">
        <v>687</v>
      </c>
      <c r="G107" s="9">
        <v>10.0</v>
      </c>
      <c r="H107" s="10" t="s">
        <v>688</v>
      </c>
      <c r="I107" s="13" t="s">
        <v>689</v>
      </c>
      <c r="J107" s="14" t="s">
        <v>690</v>
      </c>
      <c r="K107" s="5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5" t="s">
        <v>691</v>
      </c>
      <c r="B108" s="23" t="s">
        <v>692</v>
      </c>
      <c r="C108" s="9" t="s">
        <v>693</v>
      </c>
      <c r="D108" s="17" t="s">
        <v>694</v>
      </c>
      <c r="E108" s="9">
        <v>100.0</v>
      </c>
      <c r="F108" s="9" t="s">
        <v>687</v>
      </c>
      <c r="G108" s="9">
        <v>10.0</v>
      </c>
      <c r="H108" s="10" t="s">
        <v>688</v>
      </c>
      <c r="I108" s="13" t="s">
        <v>695</v>
      </c>
      <c r="J108" s="14" t="s">
        <v>696</v>
      </c>
      <c r="K108" s="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5" t="s">
        <v>697</v>
      </c>
      <c r="B109" s="23" t="s">
        <v>698</v>
      </c>
      <c r="C109" s="9" t="s">
        <v>699</v>
      </c>
      <c r="D109" s="17" t="s">
        <v>700</v>
      </c>
      <c r="E109" s="9">
        <v>100.0</v>
      </c>
      <c r="F109" s="9" t="s">
        <v>687</v>
      </c>
      <c r="G109" s="9">
        <v>10.0</v>
      </c>
      <c r="H109" s="10" t="s">
        <v>688</v>
      </c>
      <c r="I109" s="13" t="s">
        <v>701</v>
      </c>
      <c r="J109" s="14" t="s">
        <v>702</v>
      </c>
      <c r="K109" s="5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5" t="s">
        <v>703</v>
      </c>
      <c r="B110" s="23" t="s">
        <v>704</v>
      </c>
      <c r="C110" s="9" t="s">
        <v>705</v>
      </c>
      <c r="D110" s="17" t="s">
        <v>706</v>
      </c>
      <c r="E110" s="9">
        <v>100.0</v>
      </c>
      <c r="F110" s="9" t="s">
        <v>687</v>
      </c>
      <c r="G110" s="9">
        <v>10.0</v>
      </c>
      <c r="H110" s="10" t="s">
        <v>688</v>
      </c>
      <c r="I110" s="13" t="s">
        <v>707</v>
      </c>
      <c r="J110" s="14" t="s">
        <v>708</v>
      </c>
      <c r="K110" s="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5" t="s">
        <v>709</v>
      </c>
      <c r="B111" s="23" t="s">
        <v>710</v>
      </c>
      <c r="C111" s="9" t="s">
        <v>711</v>
      </c>
      <c r="D111" s="17" t="s">
        <v>712</v>
      </c>
      <c r="E111" s="9">
        <v>100.0</v>
      </c>
      <c r="F111" s="9" t="s">
        <v>687</v>
      </c>
      <c r="G111" s="9">
        <v>10.0</v>
      </c>
      <c r="H111" s="10" t="s">
        <v>688</v>
      </c>
      <c r="I111" s="13" t="s">
        <v>713</v>
      </c>
      <c r="J111" s="14" t="s">
        <v>714</v>
      </c>
      <c r="K111" s="5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5" t="s">
        <v>715</v>
      </c>
      <c r="B112" s="23" t="s">
        <v>716</v>
      </c>
      <c r="C112" s="9" t="s">
        <v>717</v>
      </c>
      <c r="D112" s="17" t="s">
        <v>718</v>
      </c>
      <c r="E112" s="9">
        <v>100.0</v>
      </c>
      <c r="F112" s="9" t="s">
        <v>687</v>
      </c>
      <c r="G112" s="9">
        <v>10.0</v>
      </c>
      <c r="H112" s="10" t="s">
        <v>688</v>
      </c>
      <c r="I112" s="13" t="s">
        <v>719</v>
      </c>
      <c r="J112" s="14" t="s">
        <v>720</v>
      </c>
      <c r="K112" s="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5" t="s">
        <v>721</v>
      </c>
      <c r="B113" s="23" t="s">
        <v>722</v>
      </c>
      <c r="C113" s="73" t="s">
        <v>723</v>
      </c>
      <c r="D113" s="17" t="s">
        <v>724</v>
      </c>
      <c r="E113" s="9">
        <v>100.0</v>
      </c>
      <c r="F113" s="9" t="s">
        <v>687</v>
      </c>
      <c r="G113" s="9">
        <v>10.0</v>
      </c>
      <c r="H113" s="10" t="s">
        <v>688</v>
      </c>
      <c r="I113" s="13" t="s">
        <v>725</v>
      </c>
      <c r="J113" s="14" t="s">
        <v>726</v>
      </c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5" t="s">
        <v>727</v>
      </c>
      <c r="B114" s="23" t="s">
        <v>728</v>
      </c>
      <c r="C114" s="73" t="s">
        <v>729</v>
      </c>
      <c r="D114" s="17" t="s">
        <v>730</v>
      </c>
      <c r="E114" s="9">
        <v>100.0</v>
      </c>
      <c r="F114" s="9" t="s">
        <v>687</v>
      </c>
      <c r="G114" s="9">
        <v>10.0</v>
      </c>
      <c r="H114" s="10" t="s">
        <v>688</v>
      </c>
      <c r="I114" s="13" t="s">
        <v>731</v>
      </c>
      <c r="J114" s="14" t="s">
        <v>732</v>
      </c>
      <c r="K114" s="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5" t="s">
        <v>733</v>
      </c>
      <c r="B115" s="23" t="s">
        <v>734</v>
      </c>
      <c r="C115" s="73" t="s">
        <v>735</v>
      </c>
      <c r="D115" s="17" t="s">
        <v>736</v>
      </c>
      <c r="E115" s="9">
        <v>100.0</v>
      </c>
      <c r="F115" s="9" t="s">
        <v>687</v>
      </c>
      <c r="G115" s="9">
        <v>10.0</v>
      </c>
      <c r="H115" s="10" t="s">
        <v>688</v>
      </c>
      <c r="I115" s="13" t="s">
        <v>737</v>
      </c>
      <c r="J115" s="14" t="s">
        <v>738</v>
      </c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5" t="s">
        <v>739</v>
      </c>
      <c r="B116" s="10" t="s">
        <v>740</v>
      </c>
      <c r="C116" s="73" t="s">
        <v>741</v>
      </c>
      <c r="D116" s="17" t="s">
        <v>742</v>
      </c>
      <c r="E116" s="9">
        <v>100.0</v>
      </c>
      <c r="F116" s="9" t="s">
        <v>687</v>
      </c>
      <c r="G116" s="9">
        <v>10.0</v>
      </c>
      <c r="H116" s="10" t="s">
        <v>688</v>
      </c>
      <c r="I116" s="13" t="s">
        <v>743</v>
      </c>
      <c r="J116" s="14" t="s">
        <v>744</v>
      </c>
      <c r="K116" s="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5" t="s">
        <v>745</v>
      </c>
      <c r="B117" s="10" t="s">
        <v>746</v>
      </c>
      <c r="C117" s="73" t="s">
        <v>747</v>
      </c>
      <c r="D117" s="17" t="s">
        <v>748</v>
      </c>
      <c r="E117" s="9">
        <v>100.0</v>
      </c>
      <c r="F117" s="9" t="s">
        <v>687</v>
      </c>
      <c r="G117" s="9">
        <v>10.0</v>
      </c>
      <c r="H117" s="10" t="s">
        <v>688</v>
      </c>
      <c r="I117" s="13" t="s">
        <v>749</v>
      </c>
      <c r="J117" s="14" t="s">
        <v>750</v>
      </c>
      <c r="K117" s="5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5" t="s">
        <v>751</v>
      </c>
      <c r="B118" s="10" t="s">
        <v>752</v>
      </c>
      <c r="C118" s="9" t="s">
        <v>753</v>
      </c>
      <c r="D118" s="17" t="s">
        <v>754</v>
      </c>
      <c r="E118" s="9">
        <v>100.0</v>
      </c>
      <c r="F118" s="9" t="s">
        <v>687</v>
      </c>
      <c r="G118" s="9">
        <v>10.0</v>
      </c>
      <c r="H118" s="10" t="s">
        <v>688</v>
      </c>
      <c r="I118" s="13" t="s">
        <v>755</v>
      </c>
      <c r="J118" s="14" t="s">
        <v>756</v>
      </c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5" t="s">
        <v>757</v>
      </c>
      <c r="B119" s="10" t="s">
        <v>758</v>
      </c>
      <c r="C119" s="9" t="s">
        <v>759</v>
      </c>
      <c r="D119" s="17" t="s">
        <v>760</v>
      </c>
      <c r="E119" s="9">
        <v>100.0</v>
      </c>
      <c r="F119" s="9" t="s">
        <v>687</v>
      </c>
      <c r="G119" s="9">
        <v>10.0</v>
      </c>
      <c r="H119" s="10" t="s">
        <v>688</v>
      </c>
      <c r="I119" s="13" t="s">
        <v>761</v>
      </c>
      <c r="J119" s="14" t="s">
        <v>762</v>
      </c>
      <c r="K119" s="5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5" t="s">
        <v>763</v>
      </c>
      <c r="B120" s="10" t="s">
        <v>764</v>
      </c>
      <c r="C120" s="9" t="s">
        <v>765</v>
      </c>
      <c r="D120" s="17" t="s">
        <v>766</v>
      </c>
      <c r="E120" s="9">
        <v>100.0</v>
      </c>
      <c r="F120" s="9" t="s">
        <v>687</v>
      </c>
      <c r="G120" s="9">
        <v>10.0</v>
      </c>
      <c r="H120" s="10" t="s">
        <v>688</v>
      </c>
      <c r="I120" s="13" t="s">
        <v>767</v>
      </c>
      <c r="J120" s="14" t="s">
        <v>768</v>
      </c>
      <c r="K120" s="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5" t="s">
        <v>769</v>
      </c>
      <c r="B121" s="10" t="s">
        <v>770</v>
      </c>
      <c r="C121" s="9" t="s">
        <v>771</v>
      </c>
      <c r="D121" s="17" t="s">
        <v>772</v>
      </c>
      <c r="E121" s="9">
        <v>100.0</v>
      </c>
      <c r="F121" s="9" t="s">
        <v>687</v>
      </c>
      <c r="G121" s="9">
        <v>10.0</v>
      </c>
      <c r="H121" s="10" t="s">
        <v>688</v>
      </c>
      <c r="I121" s="13" t="s">
        <v>773</v>
      </c>
      <c r="J121" s="14" t="s">
        <v>774</v>
      </c>
      <c r="K121" s="5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5" t="s">
        <v>775</v>
      </c>
      <c r="B122" s="10" t="s">
        <v>776</v>
      </c>
      <c r="C122" s="9" t="s">
        <v>777</v>
      </c>
      <c r="D122" s="17" t="s">
        <v>778</v>
      </c>
      <c r="E122" s="9">
        <v>100.0</v>
      </c>
      <c r="F122" s="9" t="s">
        <v>687</v>
      </c>
      <c r="G122" s="9">
        <v>10.0</v>
      </c>
      <c r="H122" s="35" t="s">
        <v>688</v>
      </c>
      <c r="I122" s="13" t="s">
        <v>779</v>
      </c>
      <c r="J122" s="14" t="s">
        <v>780</v>
      </c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5" t="s">
        <v>781</v>
      </c>
      <c r="B123" s="10" t="s">
        <v>782</v>
      </c>
      <c r="C123" s="9" t="s">
        <v>33</v>
      </c>
      <c r="D123" s="17" t="s">
        <v>783</v>
      </c>
      <c r="E123" s="9">
        <v>500.0</v>
      </c>
      <c r="F123" s="9" t="s">
        <v>687</v>
      </c>
      <c r="G123" s="9">
        <v>10.0</v>
      </c>
      <c r="H123" s="10" t="s">
        <v>688</v>
      </c>
      <c r="I123" s="13" t="s">
        <v>784</v>
      </c>
      <c r="J123" s="14" t="s">
        <v>785</v>
      </c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5" t="s">
        <v>786</v>
      </c>
      <c r="B124" s="10" t="s">
        <v>787</v>
      </c>
      <c r="C124" s="9" t="s">
        <v>788</v>
      </c>
      <c r="D124" s="17" t="s">
        <v>789</v>
      </c>
      <c r="E124" s="9">
        <v>500.0</v>
      </c>
      <c r="F124" s="9" t="s">
        <v>687</v>
      </c>
      <c r="G124" s="9">
        <v>10.0</v>
      </c>
      <c r="H124" s="10" t="s">
        <v>688</v>
      </c>
      <c r="I124" s="13" t="s">
        <v>790</v>
      </c>
      <c r="J124" s="14" t="s">
        <v>791</v>
      </c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5" t="s">
        <v>792</v>
      </c>
      <c r="B125" s="10" t="s">
        <v>793</v>
      </c>
      <c r="C125" s="74" t="s">
        <v>794</v>
      </c>
      <c r="D125" s="75" t="s">
        <v>795</v>
      </c>
      <c r="E125" s="9">
        <v>500.0</v>
      </c>
      <c r="F125" s="9" t="s">
        <v>687</v>
      </c>
      <c r="G125" s="9">
        <v>10.0</v>
      </c>
      <c r="H125" s="10" t="s">
        <v>688</v>
      </c>
      <c r="I125" s="13" t="s">
        <v>796</v>
      </c>
      <c r="J125" s="14" t="s">
        <v>797</v>
      </c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5" t="s">
        <v>798</v>
      </c>
      <c r="B126" s="10" t="s">
        <v>799</v>
      </c>
      <c r="C126" s="76" t="s">
        <v>800</v>
      </c>
      <c r="D126" s="17" t="s">
        <v>801</v>
      </c>
      <c r="E126" s="9">
        <v>250.0</v>
      </c>
      <c r="F126" s="9" t="s">
        <v>687</v>
      </c>
      <c r="G126" s="9">
        <v>10.0</v>
      </c>
      <c r="H126" s="10" t="s">
        <v>688</v>
      </c>
      <c r="I126" s="13" t="s">
        <v>802</v>
      </c>
      <c r="J126" s="14" t="s">
        <v>803</v>
      </c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5" t="s">
        <v>804</v>
      </c>
      <c r="B127" s="10" t="s">
        <v>805</v>
      </c>
      <c r="C127" s="9" t="s">
        <v>806</v>
      </c>
      <c r="D127" s="17" t="s">
        <v>807</v>
      </c>
      <c r="E127" s="9">
        <v>100.0</v>
      </c>
      <c r="F127" s="9" t="s">
        <v>687</v>
      </c>
      <c r="G127" s="9">
        <v>10.0</v>
      </c>
      <c r="H127" s="10" t="s">
        <v>688</v>
      </c>
      <c r="I127" s="13" t="s">
        <v>808</v>
      </c>
      <c r="J127" s="14" t="s">
        <v>809</v>
      </c>
      <c r="K127" s="77" t="s">
        <v>810</v>
      </c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5" t="s">
        <v>811</v>
      </c>
      <c r="B128" s="10" t="s">
        <v>812</v>
      </c>
      <c r="C128" s="9" t="s">
        <v>813</v>
      </c>
      <c r="D128" s="17" t="s">
        <v>814</v>
      </c>
      <c r="E128" s="9">
        <v>500.0</v>
      </c>
      <c r="F128" s="9" t="s">
        <v>687</v>
      </c>
      <c r="G128" s="9">
        <v>10.0</v>
      </c>
      <c r="H128" s="10" t="s">
        <v>688</v>
      </c>
      <c r="I128" s="13" t="s">
        <v>815</v>
      </c>
      <c r="J128" s="14" t="s">
        <v>816</v>
      </c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5" t="s">
        <v>817</v>
      </c>
      <c r="B129" s="41" t="s">
        <v>818</v>
      </c>
      <c r="C129" s="9" t="s">
        <v>819</v>
      </c>
      <c r="D129" s="17" t="s">
        <v>820</v>
      </c>
      <c r="E129" s="9">
        <v>2500.0</v>
      </c>
      <c r="F129" s="9" t="s">
        <v>687</v>
      </c>
      <c r="G129" s="9">
        <v>500.0</v>
      </c>
      <c r="H129" s="10" t="s">
        <v>688</v>
      </c>
      <c r="I129" s="13" t="s">
        <v>821</v>
      </c>
      <c r="J129" s="14" t="s">
        <v>822</v>
      </c>
      <c r="K129" s="5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47.25" customHeight="1">
      <c r="A130" s="15" t="s">
        <v>823</v>
      </c>
      <c r="B130" s="10" t="s">
        <v>824</v>
      </c>
      <c r="C130" s="9" t="s">
        <v>825</v>
      </c>
      <c r="D130" s="78" t="s">
        <v>826</v>
      </c>
      <c r="E130" s="9">
        <v>2500.0</v>
      </c>
      <c r="F130" s="9" t="s">
        <v>687</v>
      </c>
      <c r="G130" s="9">
        <v>500.0</v>
      </c>
      <c r="H130" s="16" t="s">
        <v>827</v>
      </c>
      <c r="I130" s="13" t="s">
        <v>828</v>
      </c>
      <c r="J130" s="14" t="s">
        <v>829</v>
      </c>
      <c r="K130" s="77" t="s">
        <v>830</v>
      </c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5" t="s">
        <v>831</v>
      </c>
      <c r="B131" s="10" t="s">
        <v>832</v>
      </c>
      <c r="C131" s="9" t="s">
        <v>833</v>
      </c>
      <c r="D131" s="17" t="s">
        <v>834</v>
      </c>
      <c r="E131" s="9">
        <v>2500.0</v>
      </c>
      <c r="F131" s="9" t="s">
        <v>687</v>
      </c>
      <c r="G131" s="9">
        <v>100.0</v>
      </c>
      <c r="H131" s="10" t="s">
        <v>835</v>
      </c>
      <c r="I131" s="79"/>
      <c r="J131" s="14" t="s">
        <v>836</v>
      </c>
      <c r="K131" s="5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5" t="s">
        <v>837</v>
      </c>
      <c r="B132" s="10" t="s">
        <v>838</v>
      </c>
      <c r="C132" s="9" t="s">
        <v>839</v>
      </c>
      <c r="D132" s="17" t="s">
        <v>840</v>
      </c>
      <c r="E132" s="9">
        <v>4000.0</v>
      </c>
      <c r="F132" s="9" t="s">
        <v>687</v>
      </c>
      <c r="G132" s="9">
        <v>500.0</v>
      </c>
      <c r="H132" s="10" t="s">
        <v>841</v>
      </c>
      <c r="I132" s="13" t="s">
        <v>842</v>
      </c>
      <c r="J132" s="14" t="s">
        <v>843</v>
      </c>
      <c r="K132" s="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5" t="s">
        <v>844</v>
      </c>
      <c r="B133" s="10" t="s">
        <v>845</v>
      </c>
      <c r="C133" s="74" t="s">
        <v>846</v>
      </c>
      <c r="D133" s="75" t="s">
        <v>847</v>
      </c>
      <c r="E133" s="9">
        <v>4000.0</v>
      </c>
      <c r="F133" s="9" t="s">
        <v>687</v>
      </c>
      <c r="G133" s="9">
        <v>3000.0</v>
      </c>
      <c r="H133" s="10" t="s">
        <v>15</v>
      </c>
      <c r="I133" s="13" t="s">
        <v>848</v>
      </c>
      <c r="J133" s="14" t="s">
        <v>849</v>
      </c>
      <c r="K133" s="5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5" t="s">
        <v>850</v>
      </c>
      <c r="B134" s="10" t="s">
        <v>851</v>
      </c>
      <c r="C134" s="76" t="s">
        <v>852</v>
      </c>
      <c r="D134" s="17" t="s">
        <v>853</v>
      </c>
      <c r="E134" s="9">
        <v>4000.0</v>
      </c>
      <c r="F134" s="9" t="s">
        <v>687</v>
      </c>
      <c r="G134" s="9">
        <v>3000.0</v>
      </c>
      <c r="H134" s="10" t="s">
        <v>167</v>
      </c>
      <c r="I134" s="80" t="s">
        <v>854</v>
      </c>
      <c r="J134" s="14" t="s">
        <v>855</v>
      </c>
      <c r="K134" s="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5" t="s">
        <v>856</v>
      </c>
      <c r="B135" s="10" t="s">
        <v>857</v>
      </c>
      <c r="C135" s="74" t="s">
        <v>858</v>
      </c>
      <c r="D135" s="75" t="s">
        <v>859</v>
      </c>
      <c r="E135" s="9">
        <v>4000.0</v>
      </c>
      <c r="F135" s="9" t="s">
        <v>687</v>
      </c>
      <c r="G135" s="9">
        <v>1000.0</v>
      </c>
      <c r="H135" s="10" t="s">
        <v>167</v>
      </c>
      <c r="I135" s="13" t="s">
        <v>860</v>
      </c>
      <c r="J135" s="14" t="s">
        <v>861</v>
      </c>
      <c r="K135" s="5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15" t="s">
        <v>862</v>
      </c>
      <c r="B136" s="10" t="s">
        <v>863</v>
      </c>
      <c r="C136" s="76" t="s">
        <v>864</v>
      </c>
      <c r="D136" s="17" t="s">
        <v>865</v>
      </c>
      <c r="E136" s="9">
        <v>2500.0</v>
      </c>
      <c r="F136" s="9" t="s">
        <v>687</v>
      </c>
      <c r="G136" s="9">
        <v>500.0</v>
      </c>
      <c r="H136" s="10" t="s">
        <v>866</v>
      </c>
      <c r="I136" s="13" t="s">
        <v>867</v>
      </c>
      <c r="J136" s="14" t="s">
        <v>868</v>
      </c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5" t="s">
        <v>869</v>
      </c>
      <c r="B137" s="10" t="s">
        <v>870</v>
      </c>
      <c r="C137" s="9" t="s">
        <v>871</v>
      </c>
      <c r="D137" s="17" t="s">
        <v>872</v>
      </c>
      <c r="E137" s="9">
        <v>250.0</v>
      </c>
      <c r="F137" s="9" t="s">
        <v>687</v>
      </c>
      <c r="G137" s="9">
        <v>50.0</v>
      </c>
      <c r="H137" s="10" t="s">
        <v>15</v>
      </c>
      <c r="I137" s="13" t="s">
        <v>873</v>
      </c>
      <c r="J137" s="14" t="s">
        <v>874</v>
      </c>
      <c r="K137" s="5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5" t="s">
        <v>875</v>
      </c>
      <c r="B138" s="10" t="s">
        <v>876</v>
      </c>
      <c r="C138" s="9" t="s">
        <v>877</v>
      </c>
      <c r="D138" s="17" t="s">
        <v>878</v>
      </c>
      <c r="E138" s="9">
        <v>2500.0</v>
      </c>
      <c r="F138" s="9" t="s">
        <v>687</v>
      </c>
      <c r="G138" s="9">
        <v>500.0</v>
      </c>
      <c r="H138" s="23" t="s">
        <v>879</v>
      </c>
      <c r="I138" s="13" t="s">
        <v>880</v>
      </c>
      <c r="J138" s="14" t="s">
        <v>881</v>
      </c>
      <c r="K138" s="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5" t="s">
        <v>882</v>
      </c>
      <c r="B139" s="10" t="s">
        <v>883</v>
      </c>
      <c r="C139" s="9" t="s">
        <v>884</v>
      </c>
      <c r="D139" s="17" t="s">
        <v>885</v>
      </c>
      <c r="E139" s="9">
        <v>500.0</v>
      </c>
      <c r="F139" s="9" t="s">
        <v>687</v>
      </c>
      <c r="G139" s="9">
        <v>200.0</v>
      </c>
      <c r="H139" s="10" t="s">
        <v>174</v>
      </c>
      <c r="I139" s="13" t="s">
        <v>886</v>
      </c>
      <c r="J139" s="14" t="s">
        <v>887</v>
      </c>
      <c r="K139" s="5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5" t="s">
        <v>888</v>
      </c>
      <c r="B140" s="10" t="s">
        <v>889</v>
      </c>
      <c r="C140" s="9" t="s">
        <v>20</v>
      </c>
      <c r="D140" s="17" t="s">
        <v>890</v>
      </c>
      <c r="E140" s="9">
        <v>500.0</v>
      </c>
      <c r="F140" s="9" t="s">
        <v>687</v>
      </c>
      <c r="G140" s="9">
        <v>100.0</v>
      </c>
      <c r="H140" s="10" t="s">
        <v>891</v>
      </c>
      <c r="I140" s="79"/>
      <c r="J140" s="81"/>
      <c r="K140" s="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5" t="s">
        <v>892</v>
      </c>
      <c r="B141" s="10" t="s">
        <v>893</v>
      </c>
      <c r="C141" s="9" t="s">
        <v>894</v>
      </c>
      <c r="D141" s="17" t="s">
        <v>895</v>
      </c>
      <c r="E141" s="9">
        <v>2500.0</v>
      </c>
      <c r="F141" s="9" t="s">
        <v>687</v>
      </c>
      <c r="G141" s="9">
        <v>1000.0</v>
      </c>
      <c r="H141" s="10" t="s">
        <v>174</v>
      </c>
      <c r="I141" s="13" t="s">
        <v>896</v>
      </c>
      <c r="J141" s="14" t="s">
        <v>897</v>
      </c>
      <c r="K141" s="5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5" t="s">
        <v>898</v>
      </c>
      <c r="B142" s="10" t="s">
        <v>899</v>
      </c>
      <c r="C142" s="9" t="s">
        <v>20</v>
      </c>
      <c r="D142" s="17" t="s">
        <v>900</v>
      </c>
      <c r="E142" s="9">
        <v>1000.0</v>
      </c>
      <c r="F142" s="9" t="s">
        <v>687</v>
      </c>
      <c r="G142" s="9">
        <v>200.0</v>
      </c>
      <c r="H142" s="10" t="s">
        <v>901</v>
      </c>
      <c r="I142" s="82" t="s">
        <v>902</v>
      </c>
      <c r="J142" s="14" t="s">
        <v>903</v>
      </c>
      <c r="K142" s="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5" t="s">
        <v>904</v>
      </c>
      <c r="B143" s="10" t="s">
        <v>905</v>
      </c>
      <c r="C143" s="9" t="s">
        <v>20</v>
      </c>
      <c r="D143" s="17" t="s">
        <v>906</v>
      </c>
      <c r="E143" s="9">
        <v>1000.0</v>
      </c>
      <c r="F143" s="9" t="s">
        <v>687</v>
      </c>
      <c r="G143" s="9">
        <v>200.0</v>
      </c>
      <c r="H143" s="10" t="s">
        <v>901</v>
      </c>
      <c r="I143" s="13" t="s">
        <v>907</v>
      </c>
      <c r="J143" s="14" t="s">
        <v>908</v>
      </c>
      <c r="K143" s="5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5" t="s">
        <v>909</v>
      </c>
      <c r="B144" s="10" t="s">
        <v>910</v>
      </c>
      <c r="C144" s="9" t="s">
        <v>20</v>
      </c>
      <c r="D144" s="17" t="s">
        <v>911</v>
      </c>
      <c r="E144" s="9">
        <v>1000.0</v>
      </c>
      <c r="F144" s="9" t="s">
        <v>687</v>
      </c>
      <c r="G144" s="9">
        <v>200.0</v>
      </c>
      <c r="H144" s="10" t="s">
        <v>901</v>
      </c>
      <c r="I144" s="13" t="s">
        <v>912</v>
      </c>
      <c r="J144" s="14" t="s">
        <v>913</v>
      </c>
      <c r="K144" s="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5" t="s">
        <v>914</v>
      </c>
      <c r="B145" s="10" t="s">
        <v>915</v>
      </c>
      <c r="C145" s="9" t="s">
        <v>916</v>
      </c>
      <c r="D145" s="17" t="s">
        <v>917</v>
      </c>
      <c r="E145" s="9">
        <v>2500.0</v>
      </c>
      <c r="F145" s="9" t="s">
        <v>687</v>
      </c>
      <c r="G145" s="9">
        <v>1000.0</v>
      </c>
      <c r="H145" s="10" t="s">
        <v>35</v>
      </c>
      <c r="I145" s="13" t="s">
        <v>918</v>
      </c>
      <c r="J145" s="14" t="s">
        <v>919</v>
      </c>
      <c r="K145" s="5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5" t="s">
        <v>920</v>
      </c>
      <c r="B146" s="10" t="s">
        <v>921</v>
      </c>
      <c r="C146" s="9" t="s">
        <v>922</v>
      </c>
      <c r="D146" s="17" t="s">
        <v>923</v>
      </c>
      <c r="E146" s="9">
        <v>500.0</v>
      </c>
      <c r="F146" s="9" t="s">
        <v>687</v>
      </c>
      <c r="G146" s="9">
        <v>100.0</v>
      </c>
      <c r="H146" s="10" t="s">
        <v>924</v>
      </c>
      <c r="I146" s="13" t="s">
        <v>925</v>
      </c>
      <c r="J146" s="14" t="s">
        <v>926</v>
      </c>
      <c r="K146" s="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5" t="s">
        <v>927</v>
      </c>
      <c r="B147" s="10" t="s">
        <v>928</v>
      </c>
      <c r="C147" s="9" t="s">
        <v>929</v>
      </c>
      <c r="D147" s="17" t="s">
        <v>930</v>
      </c>
      <c r="E147" s="9">
        <v>1000.0</v>
      </c>
      <c r="F147" s="9" t="s">
        <v>687</v>
      </c>
      <c r="G147" s="9">
        <v>100.0</v>
      </c>
      <c r="H147" s="10" t="s">
        <v>167</v>
      </c>
      <c r="I147" s="13" t="s">
        <v>931</v>
      </c>
      <c r="J147" s="14" t="s">
        <v>932</v>
      </c>
      <c r="K147" s="5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5" t="s">
        <v>933</v>
      </c>
      <c r="B148" s="10" t="s">
        <v>934</v>
      </c>
      <c r="C148" s="9" t="s">
        <v>20</v>
      </c>
      <c r="D148" s="17" t="s">
        <v>935</v>
      </c>
      <c r="E148" s="9">
        <v>500.0</v>
      </c>
      <c r="F148" s="9" t="s">
        <v>687</v>
      </c>
      <c r="G148" s="9">
        <v>100.0</v>
      </c>
      <c r="H148" s="10" t="s">
        <v>42</v>
      </c>
      <c r="I148" s="13" t="s">
        <v>936</v>
      </c>
      <c r="J148" s="14" t="s">
        <v>937</v>
      </c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5" t="s">
        <v>938</v>
      </c>
      <c r="B149" s="10" t="s">
        <v>939</v>
      </c>
      <c r="C149" s="9" t="s">
        <v>940</v>
      </c>
      <c r="D149" s="17" t="s">
        <v>941</v>
      </c>
      <c r="E149" s="9">
        <v>100.0</v>
      </c>
      <c r="F149" s="9" t="s">
        <v>687</v>
      </c>
      <c r="G149" s="9">
        <v>10.0</v>
      </c>
      <c r="H149" s="10" t="s">
        <v>688</v>
      </c>
      <c r="I149" s="13" t="s">
        <v>942</v>
      </c>
      <c r="J149" s="14" t="s">
        <v>943</v>
      </c>
      <c r="K149" s="5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5" t="s">
        <v>944</v>
      </c>
      <c r="B150" s="10" t="s">
        <v>945</v>
      </c>
      <c r="C150" s="9" t="s">
        <v>20</v>
      </c>
      <c r="D150" s="83" t="s">
        <v>946</v>
      </c>
      <c r="E150" s="9">
        <v>15.0</v>
      </c>
      <c r="F150" s="9" t="s">
        <v>947</v>
      </c>
      <c r="G150" s="9">
        <v>3.0</v>
      </c>
      <c r="H150" s="10" t="s">
        <v>948</v>
      </c>
      <c r="I150" s="84" t="s">
        <v>949</v>
      </c>
      <c r="J150" s="14" t="s">
        <v>950</v>
      </c>
      <c r="K150" s="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5" t="s">
        <v>951</v>
      </c>
      <c r="B151" s="10" t="s">
        <v>952</v>
      </c>
      <c r="C151" s="9" t="s">
        <v>953</v>
      </c>
      <c r="D151" s="17" t="s">
        <v>954</v>
      </c>
      <c r="E151" s="9">
        <v>500.0</v>
      </c>
      <c r="F151" s="9" t="s">
        <v>687</v>
      </c>
      <c r="G151" s="9">
        <v>100.0</v>
      </c>
      <c r="H151" s="10" t="s">
        <v>627</v>
      </c>
      <c r="I151" s="13" t="s">
        <v>955</v>
      </c>
      <c r="J151" s="18" t="s">
        <v>956</v>
      </c>
      <c r="K151" s="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15" t="s">
        <v>957</v>
      </c>
      <c r="B152" s="10" t="s">
        <v>958</v>
      </c>
      <c r="C152" s="9" t="s">
        <v>20</v>
      </c>
      <c r="D152" s="17" t="s">
        <v>959</v>
      </c>
      <c r="E152" s="9">
        <v>100.0</v>
      </c>
      <c r="F152" s="9" t="s">
        <v>687</v>
      </c>
      <c r="G152" s="9">
        <v>10.0</v>
      </c>
      <c r="H152" s="10" t="s">
        <v>960</v>
      </c>
      <c r="I152" s="85" t="s">
        <v>961</v>
      </c>
      <c r="J152" s="14" t="s">
        <v>962</v>
      </c>
      <c r="K152" s="5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5" t="s">
        <v>963</v>
      </c>
      <c r="B153" s="10" t="s">
        <v>964</v>
      </c>
      <c r="C153" s="9" t="s">
        <v>20</v>
      </c>
      <c r="D153" s="17" t="s">
        <v>965</v>
      </c>
      <c r="E153" s="9">
        <v>100.0</v>
      </c>
      <c r="F153" s="9" t="s">
        <v>687</v>
      </c>
      <c r="G153" s="9">
        <v>10.0</v>
      </c>
      <c r="H153" s="34"/>
      <c r="I153" s="13" t="s">
        <v>966</v>
      </c>
      <c r="J153" s="14" t="s">
        <v>967</v>
      </c>
      <c r="K153" s="5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5" t="s">
        <v>968</v>
      </c>
      <c r="B154" s="10" t="s">
        <v>969</v>
      </c>
      <c r="C154" s="9" t="s">
        <v>970</v>
      </c>
      <c r="D154" s="17" t="s">
        <v>971</v>
      </c>
      <c r="E154" s="9">
        <v>500.0</v>
      </c>
      <c r="F154" s="9" t="s">
        <v>687</v>
      </c>
      <c r="G154" s="9">
        <v>100.0</v>
      </c>
      <c r="H154" s="10" t="s">
        <v>555</v>
      </c>
      <c r="I154" s="13" t="s">
        <v>972</v>
      </c>
      <c r="J154" s="14" t="s">
        <v>973</v>
      </c>
      <c r="K154" s="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5" t="s">
        <v>974</v>
      </c>
      <c r="B155" s="10" t="s">
        <v>975</v>
      </c>
      <c r="C155" s="9" t="s">
        <v>976</v>
      </c>
      <c r="D155" s="17" t="s">
        <v>977</v>
      </c>
      <c r="E155" s="9">
        <v>500.0</v>
      </c>
      <c r="F155" s="9" t="s">
        <v>687</v>
      </c>
      <c r="G155" s="9">
        <v>100.0</v>
      </c>
      <c r="H155" s="10" t="s">
        <v>688</v>
      </c>
      <c r="I155" s="13" t="s">
        <v>978</v>
      </c>
      <c r="J155" s="14" t="s">
        <v>979</v>
      </c>
      <c r="K155" s="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5" t="s">
        <v>980</v>
      </c>
      <c r="B156" s="10" t="s">
        <v>981</v>
      </c>
      <c r="C156" s="9" t="s">
        <v>20</v>
      </c>
      <c r="D156" s="17" t="s">
        <v>982</v>
      </c>
      <c r="E156" s="9">
        <v>1.0</v>
      </c>
      <c r="F156" s="9" t="s">
        <v>687</v>
      </c>
      <c r="G156" s="9">
        <v>1.0</v>
      </c>
      <c r="H156" s="10" t="s">
        <v>983</v>
      </c>
      <c r="I156" s="13" t="s">
        <v>978</v>
      </c>
      <c r="J156" s="14" t="s">
        <v>984</v>
      </c>
      <c r="K156" s="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5" t="s">
        <v>985</v>
      </c>
      <c r="B157" s="10" t="s">
        <v>986</v>
      </c>
      <c r="C157" s="9" t="s">
        <v>20</v>
      </c>
      <c r="D157" s="17" t="s">
        <v>987</v>
      </c>
      <c r="E157" s="9">
        <v>100.0</v>
      </c>
      <c r="F157" s="9" t="s">
        <v>687</v>
      </c>
      <c r="G157" s="9">
        <v>10.0</v>
      </c>
      <c r="H157" s="10" t="s">
        <v>988</v>
      </c>
      <c r="I157" s="13" t="s">
        <v>989</v>
      </c>
      <c r="J157" s="14" t="s">
        <v>990</v>
      </c>
      <c r="K157" s="5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5" t="s">
        <v>991</v>
      </c>
      <c r="B158" s="10" t="s">
        <v>992</v>
      </c>
      <c r="C158" s="9" t="s">
        <v>993</v>
      </c>
      <c r="D158" s="17" t="s">
        <v>994</v>
      </c>
      <c r="E158" s="9">
        <v>100.0</v>
      </c>
      <c r="F158" s="9" t="s">
        <v>687</v>
      </c>
      <c r="G158" s="9">
        <v>10.0</v>
      </c>
      <c r="H158" s="10" t="s">
        <v>995</v>
      </c>
      <c r="I158" s="13" t="s">
        <v>996</v>
      </c>
      <c r="J158" s="14" t="s">
        <v>997</v>
      </c>
      <c r="K158" s="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5" t="s">
        <v>998</v>
      </c>
      <c r="B159" s="10" t="s">
        <v>999</v>
      </c>
      <c r="C159" s="9" t="s">
        <v>1000</v>
      </c>
      <c r="D159" s="17" t="s">
        <v>1001</v>
      </c>
      <c r="E159" s="9">
        <v>100.0</v>
      </c>
      <c r="F159" s="9" t="s">
        <v>687</v>
      </c>
      <c r="G159" s="9">
        <v>10.0</v>
      </c>
      <c r="H159" s="10" t="s">
        <v>1000</v>
      </c>
      <c r="I159" s="13" t="s">
        <v>1002</v>
      </c>
      <c r="J159" s="14" t="s">
        <v>1003</v>
      </c>
      <c r="K159" s="77" t="s">
        <v>1004</v>
      </c>
      <c r="L159" s="77" t="s">
        <v>1005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5" t="s">
        <v>1006</v>
      </c>
      <c r="B160" s="10" t="s">
        <v>1007</v>
      </c>
      <c r="C160" s="9" t="s">
        <v>1008</v>
      </c>
      <c r="D160" s="17" t="s">
        <v>1009</v>
      </c>
      <c r="E160" s="9">
        <v>500.0</v>
      </c>
      <c r="F160" s="9" t="s">
        <v>687</v>
      </c>
      <c r="G160" s="9">
        <v>100.0</v>
      </c>
      <c r="H160" s="10" t="s">
        <v>417</v>
      </c>
      <c r="I160" s="13" t="s">
        <v>1010</v>
      </c>
      <c r="J160" s="14" t="s">
        <v>1011</v>
      </c>
      <c r="K160" s="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5"/>
      <c r="B161" s="86"/>
      <c r="C161" s="9"/>
      <c r="D161" s="17"/>
      <c r="E161" s="9"/>
      <c r="F161" s="9"/>
      <c r="G161" s="9"/>
      <c r="H161" s="10"/>
      <c r="I161" s="87"/>
      <c r="J161" s="72"/>
      <c r="K161" s="5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15" t="s">
        <v>1012</v>
      </c>
      <c r="B162" s="88" t="s">
        <v>1013</v>
      </c>
      <c r="C162" s="9" t="s">
        <v>20</v>
      </c>
      <c r="D162" s="17" t="s">
        <v>1014</v>
      </c>
      <c r="E162" s="9">
        <v>100.0</v>
      </c>
      <c r="F162" s="9" t="s">
        <v>687</v>
      </c>
      <c r="G162" s="9">
        <v>10.0</v>
      </c>
      <c r="H162" s="10" t="s">
        <v>1015</v>
      </c>
      <c r="I162" s="13" t="s">
        <v>1016</v>
      </c>
      <c r="J162" s="14" t="s">
        <v>1017</v>
      </c>
      <c r="K162" s="5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15" t="s">
        <v>1018</v>
      </c>
      <c r="B163" s="89" t="s">
        <v>1019</v>
      </c>
      <c r="C163" s="9" t="s">
        <v>1020</v>
      </c>
      <c r="D163" s="17" t="s">
        <v>1021</v>
      </c>
      <c r="E163" s="9">
        <v>2500.0</v>
      </c>
      <c r="F163" s="9" t="s">
        <v>687</v>
      </c>
      <c r="G163" s="9">
        <v>100.0</v>
      </c>
      <c r="H163" s="10" t="s">
        <v>983</v>
      </c>
      <c r="I163" s="13" t="s">
        <v>1022</v>
      </c>
      <c r="J163" s="14" t="s">
        <v>1023</v>
      </c>
      <c r="K163" s="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15" t="s">
        <v>1024</v>
      </c>
      <c r="B164" s="89" t="s">
        <v>1025</v>
      </c>
      <c r="C164" s="9" t="s">
        <v>1026</v>
      </c>
      <c r="D164" s="17" t="s">
        <v>1027</v>
      </c>
      <c r="E164" s="9">
        <v>1000.0</v>
      </c>
      <c r="F164" s="9" t="s">
        <v>687</v>
      </c>
      <c r="G164" s="9">
        <v>100.0</v>
      </c>
      <c r="H164" s="10" t="s">
        <v>983</v>
      </c>
      <c r="I164" s="13" t="s">
        <v>1028</v>
      </c>
      <c r="J164" s="14" t="s">
        <v>1029</v>
      </c>
      <c r="K164" s="5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15" t="s">
        <v>1030</v>
      </c>
      <c r="B165" s="89" t="s">
        <v>1031</v>
      </c>
      <c r="C165" s="9" t="s">
        <v>1032</v>
      </c>
      <c r="D165" s="17" t="s">
        <v>1033</v>
      </c>
      <c r="E165" s="9">
        <v>2500.0</v>
      </c>
      <c r="F165" s="9" t="s">
        <v>687</v>
      </c>
      <c r="G165" s="9">
        <v>100.0</v>
      </c>
      <c r="H165" s="10" t="s">
        <v>1034</v>
      </c>
      <c r="I165" s="13" t="s">
        <v>1035</v>
      </c>
      <c r="J165" s="14" t="s">
        <v>1036</v>
      </c>
      <c r="K165" s="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5" t="s">
        <v>1037</v>
      </c>
      <c r="B166" s="10" t="s">
        <v>1038</v>
      </c>
      <c r="C166" s="9" t="s">
        <v>1039</v>
      </c>
      <c r="D166" s="17" t="s">
        <v>1040</v>
      </c>
      <c r="E166" s="9">
        <v>4000.0</v>
      </c>
      <c r="F166" s="9" t="s">
        <v>687</v>
      </c>
      <c r="G166" s="9">
        <v>100.0</v>
      </c>
      <c r="H166" s="10" t="s">
        <v>983</v>
      </c>
      <c r="I166" s="13" t="s">
        <v>1041</v>
      </c>
      <c r="J166" s="14" t="s">
        <v>1042</v>
      </c>
      <c r="K166" s="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5" t="s">
        <v>1043</v>
      </c>
      <c r="B167" s="10" t="s">
        <v>1044</v>
      </c>
      <c r="C167" s="9" t="s">
        <v>20</v>
      </c>
      <c r="D167" s="17" t="s">
        <v>1045</v>
      </c>
      <c r="E167" s="9">
        <v>100.0</v>
      </c>
      <c r="F167" s="9" t="s">
        <v>687</v>
      </c>
      <c r="G167" s="9">
        <v>10.0</v>
      </c>
      <c r="H167" s="10" t="s">
        <v>983</v>
      </c>
      <c r="I167" s="13" t="s">
        <v>1046</v>
      </c>
      <c r="J167" s="14" t="s">
        <v>1047</v>
      </c>
      <c r="K167" s="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5" t="s">
        <v>1048</v>
      </c>
      <c r="B168" s="10" t="s">
        <v>1049</v>
      </c>
      <c r="C168" s="9" t="s">
        <v>1050</v>
      </c>
      <c r="D168" s="90"/>
      <c r="E168" s="9">
        <v>1.0</v>
      </c>
      <c r="F168" s="9" t="s">
        <v>1051</v>
      </c>
      <c r="G168" s="9">
        <v>1.0</v>
      </c>
      <c r="H168" s="10" t="s">
        <v>983</v>
      </c>
      <c r="I168" s="79"/>
      <c r="J168" s="81"/>
      <c r="K168" s="5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5" t="s">
        <v>1052</v>
      </c>
      <c r="B169" s="10" t="s">
        <v>1053</v>
      </c>
      <c r="C169" s="9" t="s">
        <v>1050</v>
      </c>
      <c r="D169" s="90"/>
      <c r="E169" s="9">
        <v>2.0</v>
      </c>
      <c r="F169" s="9" t="s">
        <v>1051</v>
      </c>
      <c r="G169" s="9">
        <v>2.0</v>
      </c>
      <c r="H169" s="10" t="s">
        <v>688</v>
      </c>
      <c r="I169" s="79"/>
      <c r="J169" s="81"/>
      <c r="K169" s="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5"/>
      <c r="B170" s="34"/>
      <c r="C170" s="91"/>
      <c r="D170" s="90"/>
      <c r="E170" s="91"/>
      <c r="F170" s="91"/>
      <c r="G170" s="91"/>
      <c r="H170" s="34"/>
      <c r="I170" s="79"/>
      <c r="J170" s="81"/>
      <c r="K170" s="5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92"/>
      <c r="B171" s="10"/>
      <c r="C171" s="91"/>
      <c r="D171" s="90"/>
      <c r="E171" s="91"/>
      <c r="F171" s="91"/>
      <c r="G171" s="91"/>
      <c r="H171" s="34"/>
      <c r="I171" s="79"/>
      <c r="J171" s="81"/>
      <c r="K171" s="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5"/>
      <c r="J172" s="5"/>
      <c r="K172" s="5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5"/>
      <c r="J173" s="5"/>
      <c r="K173" s="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5"/>
      <c r="J174" s="5"/>
      <c r="K174" s="5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5"/>
      <c r="J175" s="5"/>
      <c r="K175" s="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5"/>
      <c r="J176" s="5"/>
      <c r="K176" s="5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5"/>
      <c r="J177" s="5"/>
      <c r="K177" s="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5"/>
      <c r="J178" s="5"/>
      <c r="K178" s="5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5"/>
      <c r="J179" s="5"/>
      <c r="K179" s="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5"/>
      <c r="J180" s="5"/>
      <c r="K180" s="5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5"/>
      <c r="J181" s="5"/>
      <c r="K181" s="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5"/>
      <c r="J182" s="5"/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5"/>
      <c r="J183" s="5"/>
      <c r="K183" s="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5"/>
      <c r="J184" s="5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5"/>
      <c r="J185" s="5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5"/>
      <c r="J186" s="5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5"/>
      <c r="J187" s="5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5"/>
      <c r="J188" s="5"/>
      <c r="K188" s="5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5"/>
      <c r="J189" s="5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5"/>
      <c r="J190" s="5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5"/>
      <c r="J191" s="5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5"/>
      <c r="J192" s="5"/>
      <c r="K192" s="5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5"/>
      <c r="J193" s="5"/>
      <c r="K193" s="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5"/>
      <c r="J194" s="5"/>
      <c r="K194" s="5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5"/>
      <c r="J195" s="5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5"/>
      <c r="J196" s="5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5"/>
      <c r="J197" s="5"/>
      <c r="K197" s="5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5"/>
      <c r="J198" s="5"/>
      <c r="K198" s="5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5"/>
      <c r="J199" s="5"/>
      <c r="K199" s="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5"/>
      <c r="J200" s="5"/>
      <c r="K200" s="5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5"/>
      <c r="J201" s="5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5"/>
      <c r="J202" s="5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5"/>
      <c r="J203" s="5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5"/>
      <c r="J204" s="5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5"/>
      <c r="J205" s="5"/>
      <c r="K205" s="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5"/>
      <c r="J206" s="5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5"/>
      <c r="J207" s="5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5"/>
      <c r="J208" s="5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5"/>
      <c r="J209" s="5"/>
      <c r="K209" s="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5"/>
      <c r="J210" s="5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5"/>
      <c r="J211" s="5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5"/>
      <c r="J212" s="5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5"/>
      <c r="J213" s="5"/>
      <c r="K213" s="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5"/>
      <c r="J214" s="5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5"/>
      <c r="J215" s="5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5"/>
      <c r="J216" s="5"/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5"/>
      <c r="J217" s="5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5"/>
      <c r="J218" s="5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5"/>
      <c r="J219" s="5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5"/>
      <c r="J220" s="5"/>
      <c r="K220" s="5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5"/>
      <c r="J221" s="5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5"/>
      <c r="J222" s="5"/>
      <c r="K222" s="5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5"/>
      <c r="J223" s="5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5"/>
      <c r="J224" s="5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5"/>
      <c r="J225" s="5"/>
      <c r="K225" s="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5"/>
      <c r="J226" s="5"/>
      <c r="K226" s="5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5"/>
      <c r="J227" s="5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5"/>
      <c r="J228" s="5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5"/>
      <c r="J229" s="5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5"/>
      <c r="J230" s="5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5"/>
      <c r="J231" s="5"/>
      <c r="K231" s="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5"/>
      <c r="J232" s="5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5"/>
      <c r="J233" s="5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5"/>
      <c r="J234" s="5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5"/>
      <c r="J235" s="5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5"/>
      <c r="J236" s="5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5"/>
      <c r="J237" s="5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5"/>
      <c r="J238" s="5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5"/>
      <c r="J239" s="5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5"/>
      <c r="J240" s="5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5"/>
      <c r="J241" s="5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5"/>
      <c r="J242" s="5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5"/>
      <c r="J243" s="5"/>
      <c r="K243" s="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5"/>
      <c r="J244" s="5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5"/>
      <c r="J245" s="5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5"/>
      <c r="J246" s="5"/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5"/>
      <c r="J247" s="5"/>
      <c r="K247" s="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5"/>
      <c r="J248" s="5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5"/>
      <c r="J249" s="5"/>
      <c r="K249" s="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5"/>
      <c r="J250" s="5"/>
      <c r="K250" s="5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5"/>
      <c r="J251" s="5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5"/>
      <c r="J252" s="5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5"/>
      <c r="J253" s="5"/>
      <c r="K253" s="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5"/>
      <c r="J254" s="5"/>
      <c r="K254" s="5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5"/>
      <c r="J255" s="5"/>
      <c r="K255" s="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5"/>
      <c r="J256" s="5"/>
      <c r="K256" s="5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5"/>
      <c r="J257" s="5"/>
      <c r="K257" s="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5"/>
      <c r="J258" s="5"/>
      <c r="K258" s="5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5"/>
      <c r="J259" s="5"/>
      <c r="K259" s="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5"/>
      <c r="J260" s="5"/>
      <c r="K260" s="5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5"/>
      <c r="J261" s="5"/>
      <c r="K261" s="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5"/>
      <c r="J262" s="5"/>
      <c r="K262" s="5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5"/>
      <c r="J263" s="5"/>
      <c r="K263" s="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5"/>
      <c r="J264" s="5"/>
      <c r="K264" s="5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5"/>
      <c r="J265" s="5"/>
      <c r="K265" s="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5"/>
      <c r="J266" s="5"/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5"/>
      <c r="J267" s="5"/>
      <c r="K267" s="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5"/>
      <c r="J268" s="5"/>
      <c r="K268" s="5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5"/>
      <c r="J269" s="5"/>
      <c r="K269" s="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5"/>
      <c r="J270" s="5"/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5"/>
      <c r="J271" s="5"/>
      <c r="K271" s="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5"/>
      <c r="J272" s="5"/>
      <c r="K272" s="5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5"/>
      <c r="J273" s="5"/>
      <c r="K273" s="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5"/>
      <c r="J274" s="5"/>
      <c r="K274" s="5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5"/>
      <c r="J275" s="5"/>
      <c r="K275" s="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5"/>
      <c r="J276" s="5"/>
      <c r="K276" s="5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5"/>
      <c r="J277" s="5"/>
      <c r="K277" s="5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5"/>
      <c r="J278" s="5"/>
      <c r="K278" s="5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5"/>
      <c r="J279" s="5"/>
      <c r="K279" s="5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5"/>
      <c r="J280" s="5"/>
      <c r="K280" s="5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5"/>
      <c r="J281" s="5"/>
      <c r="K281" s="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5"/>
      <c r="J282" s="5"/>
      <c r="K282" s="5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5"/>
      <c r="J283" s="5"/>
      <c r="K283" s="5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5"/>
      <c r="J284" s="5"/>
      <c r="K284" s="5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5"/>
      <c r="J285" s="5"/>
      <c r="K285" s="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5"/>
      <c r="J286" s="5"/>
      <c r="K286" s="5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5"/>
      <c r="J287" s="5"/>
      <c r="K287" s="5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5"/>
      <c r="J288" s="5"/>
      <c r="K288" s="5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5"/>
      <c r="J289" s="5"/>
      <c r="K289" s="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5"/>
      <c r="J290" s="5"/>
      <c r="K290" s="5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5"/>
      <c r="J291" s="5"/>
      <c r="K291" s="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5"/>
      <c r="J292" s="5"/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5"/>
      <c r="J293" s="5"/>
      <c r="K293" s="5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5"/>
      <c r="J294" s="5"/>
      <c r="K294" s="5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5"/>
      <c r="J295" s="5"/>
      <c r="K295" s="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5"/>
      <c r="J296" s="5"/>
      <c r="K296" s="5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5"/>
      <c r="J297" s="5"/>
      <c r="K297" s="5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5"/>
      <c r="J298" s="5"/>
      <c r="K298" s="5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5"/>
      <c r="J299" s="5"/>
      <c r="K299" s="5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5"/>
      <c r="J300" s="5"/>
      <c r="K300" s="5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5"/>
      <c r="J301" s="5"/>
      <c r="K301" s="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5"/>
      <c r="J302" s="5"/>
      <c r="K302" s="5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5"/>
      <c r="J303" s="5"/>
      <c r="K303" s="5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5"/>
      <c r="J304" s="5"/>
      <c r="K304" s="5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5"/>
      <c r="J305" s="5"/>
      <c r="K305" s="5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5"/>
      <c r="J306" s="5"/>
      <c r="K306" s="5"/>
      <c r="L306" s="5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5"/>
      <c r="J307" s="5"/>
      <c r="K307" s="5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5"/>
      <c r="J308" s="5"/>
      <c r="K308" s="5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5"/>
      <c r="J309" s="5"/>
      <c r="K309" s="5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5"/>
      <c r="J310" s="5"/>
      <c r="K310" s="5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5"/>
      <c r="J311" s="5"/>
      <c r="K311" s="5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5"/>
      <c r="J312" s="5"/>
      <c r="K312" s="5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5"/>
      <c r="J313" s="5"/>
      <c r="K313" s="5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5"/>
      <c r="J314" s="5"/>
      <c r="K314" s="5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5"/>
      <c r="J315" s="5"/>
      <c r="K315" s="5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5"/>
      <c r="J316" s="5"/>
      <c r="K316" s="5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5"/>
      <c r="J317" s="5"/>
      <c r="K317" s="5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5"/>
      <c r="J318" s="5"/>
      <c r="K318" s="5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5"/>
      <c r="J319" s="5"/>
      <c r="K319" s="5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5"/>
      <c r="J320" s="5"/>
      <c r="K320" s="5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5"/>
      <c r="J321" s="5"/>
      <c r="K321" s="5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5"/>
      <c r="J322" s="5"/>
      <c r="K322" s="5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5"/>
      <c r="J323" s="5"/>
      <c r="K323" s="5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5"/>
      <c r="J324" s="5"/>
      <c r="K324" s="5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5"/>
      <c r="J325" s="5"/>
      <c r="K325" s="5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5"/>
      <c r="J326" s="5"/>
      <c r="K326" s="5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5"/>
      <c r="J327" s="5"/>
      <c r="K327" s="5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5"/>
      <c r="J328" s="5"/>
      <c r="K328" s="5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5"/>
      <c r="J329" s="5"/>
      <c r="K329" s="5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5"/>
      <c r="J330" s="5"/>
      <c r="K330" s="5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5"/>
      <c r="J331" s="5"/>
      <c r="K331" s="5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5"/>
      <c r="J332" s="5"/>
      <c r="K332" s="5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5"/>
      <c r="J333" s="5"/>
      <c r="K333" s="5"/>
      <c r="L333" s="5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5"/>
      <c r="J334" s="5"/>
      <c r="K334" s="5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5"/>
      <c r="J335" s="5"/>
      <c r="K335" s="5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5"/>
      <c r="J336" s="5"/>
      <c r="K336" s="5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5"/>
      <c r="J337" s="5"/>
      <c r="K337" s="5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5"/>
      <c r="J338" s="5"/>
      <c r="K338" s="5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5"/>
      <c r="J339" s="5"/>
      <c r="K339" s="5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5"/>
      <c r="J340" s="5"/>
      <c r="K340" s="5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5"/>
      <c r="J341" s="5"/>
      <c r="K341" s="5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5"/>
      <c r="J342" s="5"/>
      <c r="K342" s="5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5"/>
      <c r="J343" s="5"/>
      <c r="K343" s="5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5"/>
      <c r="J344" s="5"/>
      <c r="K344" s="5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5"/>
      <c r="J345" s="5"/>
      <c r="K345" s="5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5"/>
      <c r="J346" s="5"/>
      <c r="K346" s="5"/>
      <c r="L346" s="5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5"/>
      <c r="J347" s="5"/>
      <c r="K347" s="5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5"/>
      <c r="J348" s="5"/>
      <c r="K348" s="5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5"/>
      <c r="J349" s="5"/>
      <c r="K349" s="5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5"/>
      <c r="J350" s="5"/>
      <c r="K350" s="5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5"/>
      <c r="J351" s="5"/>
      <c r="K351" s="5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5"/>
      <c r="J352" s="5"/>
      <c r="K352" s="5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5"/>
      <c r="J353" s="5"/>
      <c r="K353" s="5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5"/>
      <c r="J354" s="5"/>
      <c r="K354" s="5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5"/>
      <c r="J355" s="5"/>
      <c r="K355" s="5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5"/>
      <c r="J356" s="5"/>
      <c r="K356" s="5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5"/>
      <c r="J357" s="5"/>
      <c r="K357" s="5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5"/>
      <c r="J358" s="5"/>
      <c r="K358" s="5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5"/>
      <c r="J359" s="5"/>
      <c r="K359" s="5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5"/>
      <c r="J360" s="5"/>
      <c r="K360" s="5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5"/>
      <c r="J361" s="5"/>
      <c r="K361" s="5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5"/>
      <c r="J362" s="5"/>
      <c r="K362" s="5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5"/>
      <c r="J363" s="5"/>
      <c r="K363" s="5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5"/>
      <c r="J364" s="5"/>
      <c r="K364" s="5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5"/>
      <c r="J365" s="5"/>
      <c r="K365" s="5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5"/>
      <c r="J366" s="5"/>
      <c r="K366" s="5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5"/>
      <c r="J367" s="5"/>
      <c r="K367" s="5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5"/>
      <c r="J368" s="5"/>
      <c r="K368" s="5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5"/>
      <c r="J369" s="5"/>
      <c r="K369" s="5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5"/>
      <c r="J370" s="5"/>
      <c r="K370" s="5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5"/>
      <c r="J371" s="5"/>
      <c r="K371" s="5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5"/>
      <c r="J372" s="5"/>
      <c r="K372" s="5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5"/>
      <c r="J373" s="5"/>
      <c r="K373" s="5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5"/>
      <c r="J374" s="5"/>
      <c r="K374" s="5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5"/>
      <c r="J375" s="5"/>
      <c r="K375" s="5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5"/>
      <c r="J376" s="5"/>
      <c r="K376" s="5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5"/>
      <c r="J377" s="5"/>
      <c r="K377" s="5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5"/>
      <c r="J378" s="5"/>
      <c r="K378" s="5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5"/>
      <c r="J379" s="5"/>
      <c r="K379" s="5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5"/>
      <c r="J380" s="5"/>
      <c r="K380" s="5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5"/>
      <c r="J381" s="5"/>
      <c r="K381" s="5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5"/>
      <c r="J382" s="5"/>
      <c r="K382" s="5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5"/>
      <c r="J383" s="5"/>
      <c r="K383" s="5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5"/>
      <c r="J384" s="5"/>
      <c r="K384" s="5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5"/>
      <c r="J385" s="5"/>
      <c r="K385" s="5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5"/>
      <c r="J386" s="5"/>
      <c r="K386" s="5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5"/>
      <c r="J387" s="5"/>
      <c r="K387" s="5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5"/>
      <c r="J388" s="5"/>
      <c r="K388" s="5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5"/>
      <c r="J389" s="5"/>
      <c r="K389" s="5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5"/>
      <c r="J390" s="5"/>
      <c r="K390" s="5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5"/>
      <c r="J391" s="5"/>
      <c r="K391" s="5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5"/>
      <c r="J392" s="5"/>
      <c r="K392" s="5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5"/>
      <c r="J393" s="5"/>
      <c r="K393" s="5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5"/>
      <c r="J394" s="5"/>
      <c r="K394" s="5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5"/>
      <c r="J395" s="5"/>
      <c r="K395" s="5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5"/>
      <c r="J396" s="5"/>
      <c r="K396" s="5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5"/>
      <c r="J397" s="5"/>
      <c r="K397" s="5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5"/>
      <c r="J398" s="5"/>
      <c r="K398" s="5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5"/>
      <c r="J399" s="5"/>
      <c r="K399" s="5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5"/>
      <c r="J400" s="5"/>
      <c r="K400" s="5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5"/>
      <c r="J401" s="5"/>
      <c r="K401" s="5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5"/>
      <c r="J402" s="5"/>
      <c r="K402" s="5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5"/>
      <c r="J403" s="5"/>
      <c r="K403" s="5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5"/>
      <c r="J404" s="5"/>
      <c r="K404" s="5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5"/>
      <c r="J405" s="5"/>
      <c r="K405" s="5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5"/>
      <c r="J406" s="5"/>
      <c r="K406" s="5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5"/>
      <c r="J407" s="5"/>
      <c r="K407" s="5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5"/>
      <c r="J408" s="5"/>
      <c r="K408" s="5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5"/>
      <c r="J409" s="5"/>
      <c r="K409" s="5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5"/>
      <c r="J410" s="5"/>
      <c r="K410" s="5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5"/>
      <c r="J411" s="5"/>
      <c r="K411" s="5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5"/>
      <c r="J412" s="5"/>
      <c r="K412" s="5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5"/>
      <c r="J413" s="5"/>
      <c r="K413" s="5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5"/>
      <c r="J414" s="5"/>
      <c r="K414" s="5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5"/>
      <c r="J415" s="5"/>
      <c r="K415" s="5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5"/>
      <c r="J416" s="5"/>
      <c r="K416" s="5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5"/>
      <c r="J417" s="5"/>
      <c r="K417" s="5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5"/>
      <c r="J418" s="5"/>
      <c r="K418" s="5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5"/>
      <c r="J419" s="5"/>
      <c r="K419" s="5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5"/>
      <c r="J420" s="5"/>
      <c r="K420" s="5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5"/>
      <c r="J421" s="5"/>
      <c r="K421" s="5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5"/>
      <c r="J422" s="5"/>
      <c r="K422" s="5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5"/>
      <c r="J423" s="5"/>
      <c r="K423" s="5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5"/>
      <c r="J424" s="5"/>
      <c r="K424" s="5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5"/>
      <c r="J425" s="5"/>
      <c r="K425" s="5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5"/>
      <c r="J426" s="5"/>
      <c r="K426" s="5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5"/>
      <c r="J427" s="5"/>
      <c r="K427" s="5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5"/>
      <c r="J428" s="5"/>
      <c r="K428" s="5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5"/>
      <c r="J429" s="5"/>
      <c r="K429" s="5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5"/>
      <c r="J430" s="5"/>
      <c r="K430" s="5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5"/>
      <c r="J431" s="5"/>
      <c r="K431" s="5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5"/>
      <c r="J432" s="5"/>
      <c r="K432" s="5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5"/>
      <c r="J433" s="5"/>
      <c r="K433" s="5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5"/>
      <c r="J434" s="5"/>
      <c r="K434" s="5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5"/>
      <c r="J435" s="5"/>
      <c r="K435" s="5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5"/>
      <c r="J436" s="5"/>
      <c r="K436" s="5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5"/>
      <c r="J437" s="5"/>
      <c r="K437" s="5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5"/>
      <c r="J438" s="5"/>
      <c r="K438" s="5"/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5"/>
      <c r="J439" s="5"/>
      <c r="K439" s="5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5"/>
      <c r="J440" s="5"/>
      <c r="K440" s="5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5"/>
      <c r="J441" s="5"/>
      <c r="K441" s="5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5"/>
      <c r="J442" s="5"/>
      <c r="K442" s="5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5"/>
      <c r="J443" s="5"/>
      <c r="K443" s="5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5"/>
      <c r="J444" s="5"/>
      <c r="K444" s="5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5"/>
      <c r="J445" s="5"/>
      <c r="K445" s="5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5"/>
      <c r="J446" s="5"/>
      <c r="K446" s="5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5"/>
      <c r="J447" s="5"/>
      <c r="K447" s="5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5"/>
      <c r="J448" s="5"/>
      <c r="K448" s="5"/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5"/>
      <c r="J449" s="5"/>
      <c r="K449" s="5"/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5"/>
      <c r="J450" s="5"/>
      <c r="K450" s="5"/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5"/>
      <c r="J451" s="5"/>
      <c r="K451" s="5"/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5"/>
      <c r="J452" s="5"/>
      <c r="K452" s="5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5"/>
      <c r="J453" s="5"/>
      <c r="K453" s="5"/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5"/>
      <c r="J454" s="5"/>
      <c r="K454" s="5"/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5"/>
      <c r="J455" s="5"/>
      <c r="K455" s="5"/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5"/>
      <c r="J456" s="5"/>
      <c r="K456" s="5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5"/>
      <c r="J457" s="5"/>
      <c r="K457" s="5"/>
      <c r="L457" s="5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5"/>
      <c r="J458" s="5"/>
      <c r="K458" s="5"/>
      <c r="L458" s="5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5"/>
      <c r="J459" s="5"/>
      <c r="K459" s="5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5"/>
      <c r="J460" s="5"/>
      <c r="K460" s="5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5"/>
      <c r="J461" s="5"/>
      <c r="K461" s="5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5"/>
      <c r="J462" s="5"/>
      <c r="K462" s="5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5"/>
      <c r="J463" s="5"/>
      <c r="K463" s="5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5"/>
      <c r="J464" s="5"/>
      <c r="K464" s="5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5"/>
      <c r="J465" s="5"/>
      <c r="K465" s="5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5"/>
      <c r="J466" s="5"/>
      <c r="K466" s="5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5"/>
      <c r="J467" s="5"/>
      <c r="K467" s="5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5"/>
      <c r="J468" s="5"/>
      <c r="K468" s="5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5"/>
      <c r="J469" s="5"/>
      <c r="K469" s="5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5"/>
      <c r="J470" s="5"/>
      <c r="K470" s="5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5"/>
      <c r="J471" s="5"/>
      <c r="K471" s="5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5"/>
      <c r="J472" s="5"/>
      <c r="K472" s="5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5"/>
      <c r="J473" s="5"/>
      <c r="K473" s="5"/>
      <c r="L473" s="5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5"/>
      <c r="J474" s="5"/>
      <c r="K474" s="5"/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5"/>
      <c r="J475" s="5"/>
      <c r="K475" s="5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5"/>
      <c r="J476" s="5"/>
      <c r="K476" s="5"/>
      <c r="L476" s="5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5"/>
      <c r="J477" s="5"/>
      <c r="K477" s="5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5"/>
      <c r="J478" s="5"/>
      <c r="K478" s="5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5"/>
      <c r="J479" s="5"/>
      <c r="K479" s="5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5"/>
      <c r="J480" s="5"/>
      <c r="K480" s="5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5"/>
      <c r="J481" s="5"/>
      <c r="K481" s="5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5"/>
      <c r="J482" s="5"/>
      <c r="K482" s="5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5"/>
      <c r="J483" s="5"/>
      <c r="K483" s="5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5"/>
      <c r="J484" s="5"/>
      <c r="K484" s="5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5"/>
      <c r="J485" s="5"/>
      <c r="K485" s="5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5"/>
      <c r="J486" s="5"/>
      <c r="K486" s="5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5"/>
      <c r="J487" s="5"/>
      <c r="K487" s="5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5"/>
      <c r="J488" s="5"/>
      <c r="K488" s="5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5"/>
      <c r="J489" s="5"/>
      <c r="K489" s="5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5"/>
      <c r="J490" s="5"/>
      <c r="K490" s="5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5"/>
      <c r="J491" s="5"/>
      <c r="K491" s="5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5"/>
      <c r="J492" s="5"/>
      <c r="K492" s="5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5"/>
      <c r="J493" s="5"/>
      <c r="K493" s="5"/>
      <c r="L493" s="5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5"/>
      <c r="J494" s="5"/>
      <c r="K494" s="5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5"/>
      <c r="J495" s="5"/>
      <c r="K495" s="5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5"/>
      <c r="J496" s="5"/>
      <c r="K496" s="5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5"/>
      <c r="J497" s="5"/>
      <c r="K497" s="5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5"/>
      <c r="J498" s="5"/>
      <c r="K498" s="5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5"/>
      <c r="J499" s="5"/>
      <c r="K499" s="5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5"/>
      <c r="J500" s="5"/>
      <c r="K500" s="5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5"/>
      <c r="J501" s="5"/>
      <c r="K501" s="5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5"/>
      <c r="J502" s="5"/>
      <c r="K502" s="5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5"/>
      <c r="J503" s="5"/>
      <c r="K503" s="5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5"/>
      <c r="J504" s="5"/>
      <c r="K504" s="5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5"/>
      <c r="J505" s="5"/>
      <c r="K505" s="5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5"/>
      <c r="J506" s="5"/>
      <c r="K506" s="5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5"/>
      <c r="J507" s="5"/>
      <c r="K507" s="5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5"/>
      <c r="J508" s="5"/>
      <c r="K508" s="5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5"/>
      <c r="J509" s="5"/>
      <c r="K509" s="5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5"/>
      <c r="J510" s="5"/>
      <c r="K510" s="5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5"/>
      <c r="J511" s="5"/>
      <c r="K511" s="5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5"/>
      <c r="J512" s="5"/>
      <c r="K512" s="5"/>
      <c r="L512" s="5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5"/>
      <c r="J513" s="5"/>
      <c r="K513" s="5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5"/>
      <c r="J514" s="5"/>
      <c r="K514" s="5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5"/>
      <c r="J515" s="5"/>
      <c r="K515" s="5"/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5"/>
      <c r="J516" s="5"/>
      <c r="K516" s="5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5"/>
      <c r="J517" s="5"/>
      <c r="K517" s="5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5"/>
      <c r="J518" s="5"/>
      <c r="K518" s="5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5"/>
      <c r="J519" s="5"/>
      <c r="K519" s="5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5"/>
      <c r="J520" s="5"/>
      <c r="K520" s="5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5"/>
      <c r="J521" s="5"/>
      <c r="K521" s="5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5"/>
      <c r="J522" s="5"/>
      <c r="K522" s="5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5"/>
      <c r="J523" s="5"/>
      <c r="K523" s="5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5"/>
      <c r="J524" s="5"/>
      <c r="K524" s="5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5"/>
      <c r="J525" s="5"/>
      <c r="K525" s="5"/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5"/>
      <c r="J526" s="5"/>
      <c r="K526" s="5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5"/>
      <c r="J527" s="5"/>
      <c r="K527" s="5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5"/>
      <c r="J528" s="5"/>
      <c r="K528" s="5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5"/>
      <c r="J529" s="5"/>
      <c r="K529" s="5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5"/>
      <c r="J530" s="5"/>
      <c r="K530" s="5"/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5"/>
      <c r="J531" s="5"/>
      <c r="K531" s="5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5"/>
      <c r="J532" s="5"/>
      <c r="K532" s="5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5"/>
      <c r="J533" s="5"/>
      <c r="K533" s="5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5"/>
      <c r="J534" s="5"/>
      <c r="K534" s="5"/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5"/>
      <c r="J535" s="5"/>
      <c r="K535" s="5"/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5"/>
      <c r="J536" s="5"/>
      <c r="K536" s="5"/>
      <c r="L536" s="5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5"/>
      <c r="J537" s="5"/>
      <c r="K537" s="5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5"/>
      <c r="J538" s="5"/>
      <c r="K538" s="5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5"/>
      <c r="J539" s="5"/>
      <c r="K539" s="5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5"/>
      <c r="J540" s="5"/>
      <c r="K540" s="5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5"/>
      <c r="J541" s="5"/>
      <c r="K541" s="5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5"/>
      <c r="J542" s="5"/>
      <c r="K542" s="5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5"/>
      <c r="J543" s="5"/>
      <c r="K543" s="5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5"/>
      <c r="J544" s="5"/>
      <c r="K544" s="5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5"/>
      <c r="J545" s="5"/>
      <c r="K545" s="5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5"/>
      <c r="J546" s="5"/>
      <c r="K546" s="5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5"/>
      <c r="J547" s="5"/>
      <c r="K547" s="5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5"/>
      <c r="J548" s="5"/>
      <c r="K548" s="5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5"/>
      <c r="J549" s="5"/>
      <c r="K549" s="5"/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5"/>
      <c r="J550" s="5"/>
      <c r="K550" s="5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5"/>
      <c r="J551" s="5"/>
      <c r="K551" s="5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5"/>
      <c r="J552" s="5"/>
      <c r="K552" s="5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5"/>
      <c r="J553" s="5"/>
      <c r="K553" s="5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5"/>
      <c r="J554" s="5"/>
      <c r="K554" s="5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5"/>
      <c r="J555" s="5"/>
      <c r="K555" s="5"/>
      <c r="L555" s="5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5"/>
      <c r="J556" s="5"/>
      <c r="K556" s="5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5"/>
      <c r="J557" s="5"/>
      <c r="K557" s="5"/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5"/>
      <c r="J558" s="5"/>
      <c r="K558" s="5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5"/>
      <c r="J559" s="5"/>
      <c r="K559" s="5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5"/>
      <c r="J560" s="5"/>
      <c r="K560" s="5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5"/>
      <c r="J561" s="5"/>
      <c r="K561" s="5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5"/>
      <c r="J562" s="5"/>
      <c r="K562" s="5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5"/>
      <c r="J563" s="5"/>
      <c r="K563" s="5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5"/>
      <c r="J564" s="5"/>
      <c r="K564" s="5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5"/>
      <c r="J565" s="5"/>
      <c r="K565" s="5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5"/>
      <c r="J566" s="5"/>
      <c r="K566" s="5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5"/>
      <c r="J567" s="5"/>
      <c r="K567" s="5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5"/>
      <c r="J568" s="5"/>
      <c r="K568" s="5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5"/>
      <c r="J569" s="5"/>
      <c r="K569" s="5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5"/>
      <c r="J570" s="5"/>
      <c r="K570" s="5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5"/>
      <c r="J571" s="5"/>
      <c r="K571" s="5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5"/>
      <c r="J572" s="5"/>
      <c r="K572" s="5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5"/>
      <c r="J573" s="5"/>
      <c r="K573" s="5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5"/>
      <c r="J574" s="5"/>
      <c r="K574" s="5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5"/>
      <c r="J575" s="5"/>
      <c r="K575" s="5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5"/>
      <c r="J576" s="5"/>
      <c r="K576" s="5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5"/>
      <c r="J577" s="5"/>
      <c r="K577" s="5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5"/>
      <c r="J578" s="5"/>
      <c r="K578" s="5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5"/>
      <c r="J579" s="5"/>
      <c r="K579" s="5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5"/>
      <c r="J580" s="5"/>
      <c r="K580" s="5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5"/>
      <c r="J581" s="5"/>
      <c r="K581" s="5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5"/>
      <c r="J582" s="5"/>
      <c r="K582" s="5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5"/>
      <c r="J583" s="5"/>
      <c r="K583" s="5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5"/>
      <c r="J584" s="5"/>
      <c r="K584" s="5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5"/>
      <c r="J585" s="5"/>
      <c r="K585" s="5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5"/>
      <c r="J586" s="5"/>
      <c r="K586" s="5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5"/>
      <c r="J587" s="5"/>
      <c r="K587" s="5"/>
      <c r="L587" s="5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5"/>
      <c r="J588" s="5"/>
      <c r="K588" s="5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5"/>
      <c r="J589" s="5"/>
      <c r="K589" s="5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5"/>
      <c r="J590" s="5"/>
      <c r="K590" s="5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5"/>
      <c r="J591" s="5"/>
      <c r="K591" s="5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5"/>
      <c r="J592" s="5"/>
      <c r="K592" s="5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5"/>
      <c r="J593" s="5"/>
      <c r="K593" s="5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5"/>
      <c r="J594" s="5"/>
      <c r="K594" s="5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5"/>
      <c r="J595" s="5"/>
      <c r="K595" s="5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5"/>
      <c r="J596" s="5"/>
      <c r="K596" s="5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5"/>
      <c r="J597" s="5"/>
      <c r="K597" s="5"/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5"/>
      <c r="J598" s="5"/>
      <c r="K598" s="5"/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5"/>
      <c r="J599" s="5"/>
      <c r="K599" s="5"/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5"/>
      <c r="J600" s="5"/>
      <c r="K600" s="5"/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5"/>
      <c r="J601" s="5"/>
      <c r="K601" s="5"/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5"/>
      <c r="J602" s="5"/>
      <c r="K602" s="5"/>
      <c r="L602" s="5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5"/>
      <c r="J603" s="5"/>
      <c r="K603" s="5"/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5"/>
      <c r="J604" s="5"/>
      <c r="K604" s="5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5"/>
      <c r="J605" s="5"/>
      <c r="K605" s="5"/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5"/>
      <c r="J606" s="5"/>
      <c r="K606" s="5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5"/>
      <c r="J607" s="5"/>
      <c r="K607" s="5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5"/>
      <c r="J608" s="5"/>
      <c r="K608" s="5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5"/>
      <c r="J609" s="5"/>
      <c r="K609" s="5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5"/>
      <c r="J610" s="5"/>
      <c r="K610" s="5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5"/>
      <c r="J611" s="5"/>
      <c r="K611" s="5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5"/>
      <c r="J612" s="5"/>
      <c r="K612" s="5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5"/>
      <c r="J613" s="5"/>
      <c r="K613" s="5"/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5"/>
      <c r="J614" s="5"/>
      <c r="K614" s="5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5"/>
      <c r="J615" s="5"/>
      <c r="K615" s="5"/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5"/>
      <c r="J616" s="5"/>
      <c r="K616" s="5"/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5"/>
      <c r="J617" s="5"/>
      <c r="K617" s="5"/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5"/>
      <c r="J618" s="5"/>
      <c r="K618" s="5"/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5"/>
      <c r="J619" s="5"/>
      <c r="K619" s="5"/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5"/>
      <c r="J620" s="5"/>
      <c r="K620" s="5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5"/>
      <c r="J621" s="5"/>
      <c r="K621" s="5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5"/>
      <c r="J622" s="5"/>
      <c r="K622" s="5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5"/>
      <c r="J623" s="5"/>
      <c r="K623" s="5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5"/>
      <c r="J624" s="5"/>
      <c r="K624" s="5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5"/>
      <c r="J625" s="5"/>
      <c r="K625" s="5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5"/>
      <c r="J626" s="5"/>
      <c r="K626" s="5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5"/>
      <c r="J627" s="5"/>
      <c r="K627" s="5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5"/>
      <c r="J628" s="5"/>
      <c r="K628" s="5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5"/>
      <c r="J629" s="5"/>
      <c r="K629" s="5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5"/>
      <c r="J630" s="5"/>
      <c r="K630" s="5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5"/>
      <c r="J631" s="5"/>
      <c r="K631" s="5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5"/>
      <c r="J632" s="5"/>
      <c r="K632" s="5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5"/>
      <c r="J633" s="5"/>
      <c r="K633" s="5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5"/>
      <c r="J634" s="5"/>
      <c r="K634" s="5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5"/>
      <c r="J635" s="5"/>
      <c r="K635" s="5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5"/>
      <c r="J636" s="5"/>
      <c r="K636" s="5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5"/>
      <c r="J637" s="5"/>
      <c r="K637" s="5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5"/>
      <c r="J638" s="5"/>
      <c r="K638" s="5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5"/>
      <c r="J639" s="5"/>
      <c r="K639" s="5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5"/>
      <c r="J640" s="5"/>
      <c r="K640" s="5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5"/>
      <c r="J641" s="5"/>
      <c r="K641" s="5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5"/>
      <c r="J642" s="5"/>
      <c r="K642" s="5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5"/>
      <c r="J643" s="5"/>
      <c r="K643" s="5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5"/>
      <c r="J644" s="5"/>
      <c r="K644" s="5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5"/>
      <c r="J645" s="5"/>
      <c r="K645" s="5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5"/>
      <c r="J646" s="5"/>
      <c r="K646" s="5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5"/>
      <c r="J647" s="5"/>
      <c r="K647" s="5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5"/>
      <c r="J648" s="5"/>
      <c r="K648" s="5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5"/>
      <c r="J649" s="5"/>
      <c r="K649" s="5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5"/>
      <c r="J650" s="5"/>
      <c r="K650" s="5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5"/>
      <c r="J651" s="5"/>
      <c r="K651" s="5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5"/>
      <c r="J652" s="5"/>
      <c r="K652" s="5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5"/>
      <c r="J653" s="5"/>
      <c r="K653" s="5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5"/>
      <c r="J654" s="5"/>
      <c r="K654" s="5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5"/>
      <c r="J655" s="5"/>
      <c r="K655" s="5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5"/>
      <c r="J656" s="5"/>
      <c r="K656" s="5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5"/>
      <c r="J657" s="5"/>
      <c r="K657" s="5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5"/>
      <c r="J658" s="5"/>
      <c r="K658" s="5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5"/>
      <c r="J659" s="5"/>
      <c r="K659" s="5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5"/>
      <c r="J660" s="5"/>
      <c r="K660" s="5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5"/>
      <c r="J661" s="5"/>
      <c r="K661" s="5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5"/>
      <c r="J662" s="5"/>
      <c r="K662" s="5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5"/>
      <c r="J663" s="5"/>
      <c r="K663" s="5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5"/>
      <c r="J664" s="5"/>
      <c r="K664" s="5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5"/>
      <c r="J665" s="5"/>
      <c r="K665" s="5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5"/>
      <c r="J666" s="5"/>
      <c r="K666" s="5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5"/>
      <c r="J667" s="5"/>
      <c r="K667" s="5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5"/>
      <c r="J668" s="5"/>
      <c r="K668" s="5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5"/>
      <c r="J669" s="5"/>
      <c r="K669" s="5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5"/>
      <c r="J670" s="5"/>
      <c r="K670" s="5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5"/>
      <c r="J671" s="5"/>
      <c r="K671" s="5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5"/>
      <c r="J672" s="5"/>
      <c r="K672" s="5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5"/>
      <c r="J673" s="5"/>
      <c r="K673" s="5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5"/>
      <c r="J674" s="5"/>
      <c r="K674" s="5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5"/>
      <c r="J675" s="5"/>
      <c r="K675" s="5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5"/>
      <c r="J676" s="5"/>
      <c r="K676" s="5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5"/>
      <c r="J677" s="5"/>
      <c r="K677" s="5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5"/>
      <c r="J678" s="5"/>
      <c r="K678" s="5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5"/>
      <c r="J679" s="5"/>
      <c r="K679" s="5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5"/>
      <c r="J680" s="5"/>
      <c r="K680" s="5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5"/>
      <c r="J681" s="5"/>
      <c r="K681" s="5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5"/>
      <c r="J682" s="5"/>
      <c r="K682" s="5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5"/>
      <c r="J683" s="5"/>
      <c r="K683" s="5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5"/>
      <c r="J684" s="5"/>
      <c r="K684" s="5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5"/>
      <c r="J685" s="5"/>
      <c r="K685" s="5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5"/>
      <c r="J686" s="5"/>
      <c r="K686" s="5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5"/>
      <c r="J687" s="5"/>
      <c r="K687" s="5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5"/>
      <c r="J688" s="5"/>
      <c r="K688" s="5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5"/>
      <c r="J689" s="5"/>
      <c r="K689" s="5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5"/>
      <c r="J690" s="5"/>
      <c r="K690" s="5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5"/>
      <c r="J691" s="5"/>
      <c r="K691" s="5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5"/>
      <c r="J692" s="5"/>
      <c r="K692" s="5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5"/>
      <c r="J693" s="5"/>
      <c r="K693" s="5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5"/>
      <c r="J694" s="5"/>
      <c r="K694" s="5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5"/>
      <c r="J695" s="5"/>
      <c r="K695" s="5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5"/>
      <c r="J696" s="5"/>
      <c r="K696" s="5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5"/>
      <c r="J697" s="5"/>
      <c r="K697" s="5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5"/>
      <c r="J698" s="5"/>
      <c r="K698" s="5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5"/>
      <c r="J699" s="5"/>
      <c r="K699" s="5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5"/>
      <c r="J700" s="5"/>
      <c r="K700" s="5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5"/>
      <c r="J701" s="5"/>
      <c r="K701" s="5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5"/>
      <c r="J702" s="5"/>
      <c r="K702" s="5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5"/>
      <c r="J703" s="5"/>
      <c r="K703" s="5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5"/>
      <c r="J704" s="5"/>
      <c r="K704" s="5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5"/>
      <c r="J705" s="5"/>
      <c r="K705" s="5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5"/>
      <c r="J706" s="5"/>
      <c r="K706" s="5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5"/>
      <c r="J707" s="5"/>
      <c r="K707" s="5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5"/>
      <c r="J708" s="5"/>
      <c r="K708" s="5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5"/>
      <c r="J709" s="5"/>
      <c r="K709" s="5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5"/>
      <c r="J710" s="5"/>
      <c r="K710" s="5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5"/>
      <c r="J711" s="5"/>
      <c r="K711" s="5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5"/>
      <c r="J712" s="5"/>
      <c r="K712" s="5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5"/>
      <c r="J713" s="5"/>
      <c r="K713" s="5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5"/>
      <c r="J714" s="5"/>
      <c r="K714" s="5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5"/>
      <c r="J715" s="5"/>
      <c r="K715" s="5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5"/>
      <c r="J716" s="5"/>
      <c r="K716" s="5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5"/>
      <c r="J717" s="5"/>
      <c r="K717" s="5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5"/>
      <c r="J718" s="5"/>
      <c r="K718" s="5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5"/>
      <c r="J719" s="5"/>
      <c r="K719" s="5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5"/>
      <c r="J720" s="5"/>
      <c r="K720" s="5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5"/>
      <c r="J721" s="5"/>
      <c r="K721" s="5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5"/>
      <c r="J722" s="5"/>
      <c r="K722" s="5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5"/>
      <c r="J723" s="5"/>
      <c r="K723" s="5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5"/>
      <c r="J724" s="5"/>
      <c r="K724" s="5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5"/>
      <c r="J725" s="5"/>
      <c r="K725" s="5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5"/>
      <c r="J726" s="5"/>
      <c r="K726" s="5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5"/>
      <c r="J727" s="5"/>
      <c r="K727" s="5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5"/>
      <c r="J728" s="5"/>
      <c r="K728" s="5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5"/>
      <c r="J729" s="5"/>
      <c r="K729" s="5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5"/>
      <c r="J730" s="5"/>
      <c r="K730" s="5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5"/>
      <c r="J731" s="5"/>
      <c r="K731" s="5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5"/>
      <c r="J732" s="5"/>
      <c r="K732" s="5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5"/>
      <c r="J733" s="5"/>
      <c r="K733" s="5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5"/>
      <c r="J734" s="5"/>
      <c r="K734" s="5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5"/>
      <c r="J735" s="5"/>
      <c r="K735" s="5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5"/>
      <c r="J736" s="5"/>
      <c r="K736" s="5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5"/>
      <c r="J737" s="5"/>
      <c r="K737" s="5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5"/>
      <c r="J738" s="5"/>
      <c r="K738" s="5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5"/>
      <c r="J739" s="5"/>
      <c r="K739" s="5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5"/>
      <c r="J740" s="5"/>
      <c r="K740" s="5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5"/>
      <c r="J741" s="5"/>
      <c r="K741" s="5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5"/>
      <c r="J742" s="5"/>
      <c r="K742" s="5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5"/>
      <c r="J743" s="5"/>
      <c r="K743" s="5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5"/>
      <c r="J744" s="5"/>
      <c r="K744" s="5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5"/>
      <c r="J745" s="5"/>
      <c r="K745" s="5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5"/>
      <c r="J746" s="5"/>
      <c r="K746" s="5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5"/>
      <c r="J747" s="5"/>
      <c r="K747" s="5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5"/>
      <c r="J748" s="5"/>
      <c r="K748" s="5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5"/>
      <c r="J749" s="5"/>
      <c r="K749" s="5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5"/>
      <c r="J750" s="5"/>
      <c r="K750" s="5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5"/>
      <c r="J751" s="5"/>
      <c r="K751" s="5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5"/>
      <c r="J752" s="5"/>
      <c r="K752" s="5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5"/>
      <c r="J753" s="5"/>
      <c r="K753" s="5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5"/>
      <c r="J754" s="5"/>
      <c r="K754" s="5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5"/>
      <c r="J755" s="5"/>
      <c r="K755" s="5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5"/>
      <c r="J756" s="5"/>
      <c r="K756" s="5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5"/>
      <c r="J757" s="5"/>
      <c r="K757" s="5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5"/>
      <c r="J758" s="5"/>
      <c r="K758" s="5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5"/>
      <c r="J759" s="5"/>
      <c r="K759" s="5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5"/>
      <c r="J760" s="5"/>
      <c r="K760" s="5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5"/>
      <c r="J761" s="5"/>
      <c r="K761" s="5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5"/>
      <c r="J762" s="5"/>
      <c r="K762" s="5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5"/>
      <c r="J763" s="5"/>
      <c r="K763" s="5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5"/>
      <c r="J764" s="5"/>
      <c r="K764" s="5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5"/>
      <c r="J765" s="5"/>
      <c r="K765" s="5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5"/>
      <c r="J766" s="5"/>
      <c r="K766" s="5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5"/>
      <c r="J767" s="5"/>
      <c r="K767" s="5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5"/>
      <c r="J768" s="5"/>
      <c r="K768" s="5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5"/>
      <c r="J769" s="5"/>
      <c r="K769" s="5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5"/>
      <c r="J770" s="5"/>
      <c r="K770" s="5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5"/>
      <c r="J771" s="5"/>
      <c r="K771" s="5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5"/>
      <c r="J772" s="5"/>
      <c r="K772" s="5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5"/>
      <c r="J773" s="5"/>
      <c r="K773" s="5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5"/>
      <c r="J774" s="5"/>
      <c r="K774" s="5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5"/>
      <c r="J775" s="5"/>
      <c r="K775" s="5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5"/>
      <c r="J776" s="5"/>
      <c r="K776" s="5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5"/>
      <c r="J777" s="5"/>
      <c r="K777" s="5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5"/>
      <c r="J778" s="5"/>
      <c r="K778" s="5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5"/>
      <c r="J779" s="5"/>
      <c r="K779" s="5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5"/>
      <c r="J780" s="5"/>
      <c r="K780" s="5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5"/>
      <c r="J781" s="5"/>
      <c r="K781" s="5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5"/>
      <c r="J782" s="5"/>
      <c r="K782" s="5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5"/>
      <c r="J783" s="5"/>
      <c r="K783" s="5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5"/>
      <c r="J784" s="5"/>
      <c r="K784" s="5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5"/>
      <c r="J785" s="5"/>
      <c r="K785" s="5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5"/>
      <c r="J786" s="5"/>
      <c r="K786" s="5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5"/>
      <c r="J787" s="5"/>
      <c r="K787" s="5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5"/>
      <c r="J788" s="5"/>
      <c r="K788" s="5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5"/>
      <c r="J789" s="5"/>
      <c r="K789" s="5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5"/>
      <c r="J790" s="5"/>
      <c r="K790" s="5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5"/>
      <c r="J791" s="5"/>
      <c r="K791" s="5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5"/>
      <c r="J792" s="5"/>
      <c r="K792" s="5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5"/>
      <c r="J793" s="5"/>
      <c r="K793" s="5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5"/>
      <c r="J794" s="5"/>
      <c r="K794" s="5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5"/>
      <c r="J795" s="5"/>
      <c r="K795" s="5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5"/>
      <c r="J796" s="5"/>
      <c r="K796" s="5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5"/>
      <c r="J797" s="5"/>
      <c r="K797" s="5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5"/>
      <c r="J798" s="5"/>
      <c r="K798" s="5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5"/>
      <c r="J799" s="5"/>
      <c r="K799" s="5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5"/>
      <c r="J800" s="5"/>
      <c r="K800" s="5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5"/>
      <c r="J801" s="5"/>
      <c r="K801" s="5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5"/>
      <c r="J802" s="5"/>
      <c r="K802" s="5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5"/>
      <c r="J803" s="5"/>
      <c r="K803" s="5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5"/>
      <c r="J804" s="5"/>
      <c r="K804" s="5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5"/>
      <c r="J805" s="5"/>
      <c r="K805" s="5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5"/>
      <c r="J806" s="5"/>
      <c r="K806" s="5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5"/>
      <c r="J807" s="5"/>
      <c r="K807" s="5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5"/>
      <c r="J808" s="5"/>
      <c r="K808" s="5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5"/>
      <c r="J809" s="5"/>
      <c r="K809" s="5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5"/>
      <c r="J810" s="5"/>
      <c r="K810" s="5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5"/>
      <c r="J811" s="5"/>
      <c r="K811" s="5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5"/>
      <c r="J812" s="5"/>
      <c r="K812" s="5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5"/>
      <c r="J813" s="5"/>
      <c r="K813" s="5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5"/>
      <c r="J814" s="5"/>
      <c r="K814" s="5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5"/>
      <c r="J815" s="5"/>
      <c r="K815" s="5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5"/>
      <c r="J816" s="5"/>
      <c r="K816" s="5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5"/>
      <c r="J817" s="5"/>
      <c r="K817" s="5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5"/>
      <c r="J818" s="5"/>
      <c r="K818" s="5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5"/>
      <c r="J819" s="5"/>
      <c r="K819" s="5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5"/>
      <c r="J820" s="5"/>
      <c r="K820" s="5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5"/>
      <c r="J821" s="5"/>
      <c r="K821" s="5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5"/>
      <c r="J822" s="5"/>
      <c r="K822" s="5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5"/>
      <c r="J823" s="5"/>
      <c r="K823" s="5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5"/>
      <c r="J824" s="5"/>
      <c r="K824" s="5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5"/>
      <c r="J825" s="5"/>
      <c r="K825" s="5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5"/>
      <c r="J826" s="5"/>
      <c r="K826" s="5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5"/>
      <c r="J827" s="5"/>
      <c r="K827" s="5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5"/>
      <c r="J828" s="5"/>
      <c r="K828" s="5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5"/>
      <c r="J829" s="5"/>
      <c r="K829" s="5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5"/>
      <c r="J830" s="5"/>
      <c r="K830" s="5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5"/>
      <c r="J831" s="5"/>
      <c r="K831" s="5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5"/>
      <c r="J832" s="5"/>
      <c r="K832" s="5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5"/>
      <c r="J833" s="5"/>
      <c r="K833" s="5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5"/>
      <c r="J834" s="5"/>
      <c r="K834" s="5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5"/>
      <c r="J835" s="5"/>
      <c r="K835" s="5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5"/>
      <c r="J836" s="5"/>
      <c r="K836" s="5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5"/>
      <c r="J837" s="5"/>
      <c r="K837" s="5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5"/>
      <c r="J838" s="5"/>
      <c r="K838" s="5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5"/>
      <c r="J839" s="5"/>
      <c r="K839" s="5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5"/>
      <c r="J840" s="5"/>
      <c r="K840" s="5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5"/>
      <c r="J841" s="5"/>
      <c r="K841" s="5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5"/>
      <c r="J842" s="5"/>
      <c r="K842" s="5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5"/>
      <c r="J843" s="5"/>
      <c r="K843" s="5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5"/>
      <c r="J844" s="5"/>
      <c r="K844" s="5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5"/>
      <c r="J845" s="5"/>
      <c r="K845" s="5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5"/>
      <c r="J846" s="5"/>
      <c r="K846" s="5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5"/>
      <c r="J847" s="5"/>
      <c r="K847" s="5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5"/>
      <c r="J848" s="5"/>
      <c r="K848" s="5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5"/>
      <c r="J849" s="5"/>
      <c r="K849" s="5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5"/>
      <c r="J850" s="5"/>
      <c r="K850" s="5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5"/>
      <c r="J851" s="5"/>
      <c r="K851" s="5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5"/>
      <c r="J852" s="5"/>
      <c r="K852" s="5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5"/>
      <c r="J853" s="5"/>
      <c r="K853" s="5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5"/>
      <c r="J854" s="5"/>
      <c r="K854" s="5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5"/>
      <c r="J855" s="5"/>
      <c r="K855" s="5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5"/>
      <c r="J856" s="5"/>
      <c r="K856" s="5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5"/>
      <c r="J857" s="5"/>
      <c r="K857" s="5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5"/>
      <c r="J858" s="5"/>
      <c r="K858" s="5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5"/>
      <c r="J859" s="5"/>
      <c r="K859" s="5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5"/>
      <c r="J860" s="5"/>
      <c r="K860" s="5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5"/>
      <c r="J861" s="5"/>
      <c r="K861" s="5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5"/>
      <c r="J862" s="5"/>
      <c r="K862" s="5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5"/>
      <c r="J863" s="5"/>
      <c r="K863" s="5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5"/>
      <c r="J864" s="5"/>
      <c r="K864" s="5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5"/>
      <c r="J865" s="5"/>
      <c r="K865" s="5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5"/>
      <c r="J866" s="5"/>
      <c r="K866" s="5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5"/>
      <c r="J867" s="5"/>
      <c r="K867" s="5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5"/>
      <c r="J868" s="5"/>
      <c r="K868" s="5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5"/>
      <c r="J869" s="5"/>
      <c r="K869" s="5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5"/>
      <c r="J870" s="5"/>
      <c r="K870" s="5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5"/>
      <c r="J871" s="5"/>
      <c r="K871" s="5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5"/>
      <c r="J872" s="5"/>
      <c r="K872" s="5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5"/>
      <c r="J873" s="5"/>
      <c r="K873" s="5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5"/>
      <c r="J874" s="5"/>
      <c r="K874" s="5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5"/>
      <c r="J875" s="5"/>
      <c r="K875" s="5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5"/>
      <c r="J876" s="5"/>
      <c r="K876" s="5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5"/>
      <c r="J877" s="5"/>
      <c r="K877" s="5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5"/>
      <c r="J878" s="5"/>
      <c r="K878" s="5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5"/>
      <c r="J879" s="5"/>
      <c r="K879" s="5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5"/>
      <c r="J880" s="5"/>
      <c r="K880" s="5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5"/>
      <c r="J881" s="5"/>
      <c r="K881" s="5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5"/>
      <c r="J882" s="5"/>
      <c r="K882" s="5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5"/>
      <c r="J883" s="5"/>
      <c r="K883" s="5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5"/>
      <c r="J884" s="5"/>
      <c r="K884" s="5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5"/>
      <c r="J885" s="5"/>
      <c r="K885" s="5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5"/>
      <c r="J886" s="5"/>
      <c r="K886" s="5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5"/>
      <c r="J887" s="5"/>
      <c r="K887" s="5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5"/>
      <c r="J888" s="5"/>
      <c r="K888" s="5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5"/>
      <c r="J889" s="5"/>
      <c r="K889" s="5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5"/>
      <c r="J890" s="5"/>
      <c r="K890" s="5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5"/>
      <c r="J891" s="5"/>
      <c r="K891" s="5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5"/>
      <c r="J892" s="5"/>
      <c r="K892" s="5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5"/>
      <c r="J893" s="5"/>
      <c r="K893" s="5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5"/>
      <c r="J894" s="5"/>
      <c r="K894" s="5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5"/>
      <c r="J895" s="5"/>
      <c r="K895" s="5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5"/>
      <c r="J896" s="5"/>
      <c r="K896" s="5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5"/>
      <c r="J897" s="5"/>
      <c r="K897" s="5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5"/>
      <c r="J898" s="5"/>
      <c r="K898" s="5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5"/>
      <c r="J899" s="5"/>
      <c r="K899" s="5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5"/>
      <c r="J900" s="5"/>
      <c r="K900" s="5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5"/>
      <c r="J901" s="5"/>
      <c r="K901" s="5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5"/>
      <c r="J902" s="5"/>
      <c r="K902" s="5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5"/>
      <c r="J903" s="5"/>
      <c r="K903" s="5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5"/>
      <c r="J904" s="5"/>
      <c r="K904" s="5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5"/>
      <c r="J905" s="5"/>
      <c r="K905" s="5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5"/>
      <c r="J906" s="5"/>
      <c r="K906" s="5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5"/>
      <c r="J907" s="5"/>
      <c r="K907" s="5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5"/>
      <c r="J908" s="5"/>
      <c r="K908" s="5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5"/>
      <c r="J909" s="5"/>
      <c r="K909" s="5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5"/>
      <c r="J910" s="5"/>
      <c r="K910" s="5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5"/>
      <c r="J911" s="5"/>
      <c r="K911" s="5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5"/>
      <c r="J912" s="5"/>
      <c r="K912" s="5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5"/>
      <c r="J913" s="5"/>
      <c r="K913" s="5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5"/>
      <c r="J914" s="5"/>
      <c r="K914" s="5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5"/>
      <c r="J915" s="5"/>
      <c r="K915" s="5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5"/>
      <c r="J916" s="5"/>
      <c r="K916" s="5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5"/>
      <c r="J917" s="5"/>
      <c r="K917" s="5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5"/>
      <c r="J918" s="5"/>
      <c r="K918" s="5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5"/>
      <c r="J919" s="5"/>
      <c r="K919" s="5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5"/>
      <c r="J920" s="5"/>
      <c r="K920" s="5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5"/>
      <c r="J921" s="5"/>
      <c r="K921" s="5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5"/>
      <c r="J922" s="5"/>
      <c r="K922" s="5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5"/>
      <c r="J923" s="5"/>
      <c r="K923" s="5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5"/>
      <c r="J924" s="5"/>
      <c r="K924" s="5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5"/>
      <c r="J925" s="5"/>
      <c r="K925" s="5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5"/>
      <c r="J926" s="5"/>
      <c r="K926" s="5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5"/>
      <c r="J927" s="5"/>
      <c r="K927" s="5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5"/>
      <c r="J928" s="5"/>
      <c r="K928" s="5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5"/>
      <c r="J929" s="5"/>
      <c r="K929" s="5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5"/>
      <c r="J930" s="5"/>
      <c r="K930" s="5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5"/>
      <c r="J931" s="5"/>
      <c r="K931" s="5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5"/>
      <c r="J932" s="5"/>
      <c r="K932" s="5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5"/>
      <c r="J933" s="5"/>
      <c r="K933" s="5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5"/>
      <c r="J934" s="5"/>
      <c r="K934" s="5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5"/>
      <c r="J935" s="5"/>
      <c r="K935" s="5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5"/>
      <c r="J936" s="5"/>
      <c r="K936" s="5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5"/>
      <c r="J937" s="5"/>
      <c r="K937" s="5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5"/>
      <c r="J938" s="5"/>
      <c r="K938" s="5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5"/>
      <c r="J939" s="5"/>
      <c r="K939" s="5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5"/>
      <c r="J940" s="5"/>
      <c r="K940" s="5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5"/>
      <c r="J941" s="5"/>
      <c r="K941" s="5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5"/>
      <c r="J942" s="5"/>
      <c r="K942" s="5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5"/>
      <c r="J943" s="5"/>
      <c r="K943" s="5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5"/>
      <c r="J944" s="5"/>
      <c r="K944" s="5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5"/>
      <c r="J945" s="5"/>
      <c r="K945" s="5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5"/>
      <c r="J946" s="5"/>
      <c r="K946" s="5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5"/>
      <c r="J947" s="5"/>
      <c r="K947" s="5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5"/>
      <c r="J948" s="5"/>
      <c r="K948" s="5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5"/>
      <c r="J949" s="5"/>
      <c r="K949" s="5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5"/>
      <c r="J950" s="5"/>
      <c r="K950" s="5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5"/>
      <c r="J951" s="5"/>
      <c r="K951" s="5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5"/>
      <c r="J952" s="5"/>
      <c r="K952" s="5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5"/>
      <c r="J953" s="5"/>
      <c r="K953" s="5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5"/>
      <c r="J954" s="5"/>
      <c r="K954" s="5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5"/>
      <c r="J955" s="5"/>
      <c r="K955" s="5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5"/>
      <c r="J956" s="5"/>
      <c r="K956" s="5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5"/>
      <c r="J957" s="5"/>
      <c r="K957" s="5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5"/>
      <c r="J958" s="5"/>
      <c r="K958" s="5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5"/>
      <c r="J959" s="5"/>
      <c r="K959" s="5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5"/>
      <c r="J960" s="5"/>
      <c r="K960" s="5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5"/>
      <c r="J961" s="5"/>
      <c r="K961" s="5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5"/>
      <c r="J962" s="5"/>
      <c r="K962" s="5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5"/>
      <c r="J963" s="5"/>
      <c r="K963" s="5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5"/>
      <c r="J964" s="5"/>
      <c r="K964" s="5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5"/>
      <c r="J965" s="5"/>
      <c r="K965" s="5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5"/>
      <c r="J966" s="5"/>
      <c r="K966" s="5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5"/>
      <c r="J967" s="5"/>
      <c r="K967" s="5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5"/>
      <c r="J968" s="5"/>
      <c r="K968" s="5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5"/>
      <c r="J969" s="5"/>
      <c r="K969" s="5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5"/>
      <c r="J970" s="5"/>
      <c r="K970" s="5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5"/>
      <c r="J971" s="5"/>
      <c r="K971" s="5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5"/>
      <c r="J972" s="5"/>
      <c r="K972" s="5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5"/>
      <c r="J973" s="5"/>
      <c r="K973" s="5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5"/>
      <c r="J974" s="5"/>
      <c r="K974" s="5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5"/>
      <c r="J975" s="5"/>
      <c r="K975" s="5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5"/>
      <c r="J976" s="5"/>
      <c r="K976" s="5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5"/>
      <c r="J977" s="5"/>
      <c r="K977" s="5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5"/>
      <c r="J978" s="5"/>
      <c r="K978" s="5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5"/>
      <c r="J979" s="5"/>
      <c r="K979" s="5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5"/>
      <c r="J980" s="5"/>
      <c r="K980" s="5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5"/>
      <c r="J981" s="5"/>
      <c r="K981" s="5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5"/>
      <c r="J982" s="5"/>
      <c r="K982" s="5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5"/>
      <c r="J983" s="5"/>
      <c r="K983" s="5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5"/>
      <c r="J984" s="5"/>
      <c r="K984" s="5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5"/>
      <c r="J985" s="5"/>
      <c r="K985" s="5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5"/>
      <c r="J986" s="5"/>
      <c r="K986" s="5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5"/>
      <c r="J987" s="5"/>
      <c r="K987" s="5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5"/>
      <c r="J988" s="5"/>
      <c r="K988" s="5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5"/>
      <c r="J989" s="5"/>
      <c r="K989" s="5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5"/>
      <c r="J990" s="5"/>
      <c r="K990" s="5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5"/>
      <c r="J991" s="5"/>
      <c r="K991" s="5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5"/>
      <c r="J992" s="5"/>
      <c r="K992" s="5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5"/>
      <c r="J993" s="5"/>
      <c r="K993" s="5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5"/>
      <c r="J994" s="5"/>
      <c r="K994" s="5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5"/>
      <c r="J995" s="5"/>
      <c r="K995" s="5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5"/>
      <c r="J996" s="5"/>
      <c r="K996" s="5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5"/>
      <c r="J997" s="5"/>
      <c r="K997" s="5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5"/>
      <c r="J998" s="5"/>
      <c r="K998" s="5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5"/>
      <c r="J999" s="5"/>
      <c r="K999" s="5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5"/>
      <c r="J1000" s="5"/>
      <c r="K1000" s="5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5"/>
      <c r="J1001" s="5"/>
      <c r="K1001" s="5"/>
      <c r="L1001" s="5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5"/>
      <c r="J1002" s="5"/>
      <c r="K1002" s="5"/>
      <c r="L1002" s="5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5"/>
      <c r="J1003" s="5"/>
      <c r="K1003" s="5"/>
      <c r="L1003" s="5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5"/>
      <c r="J1004" s="5"/>
      <c r="K1004" s="5"/>
      <c r="L1004" s="5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5"/>
      <c r="J1005" s="5"/>
      <c r="K1005" s="5"/>
      <c r="L1005" s="5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5"/>
      <c r="J1006" s="5"/>
      <c r="K1006" s="5"/>
      <c r="L1006" s="5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5"/>
      <c r="J1007" s="5"/>
      <c r="K1007" s="5"/>
      <c r="L1007" s="5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5"/>
      <c r="J1008" s="5"/>
      <c r="K1008" s="5"/>
      <c r="L1008" s="5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5"/>
      <c r="J1009" s="5"/>
      <c r="K1009" s="5"/>
      <c r="L1009" s="5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5"/>
      <c r="J1010" s="5"/>
      <c r="K1010" s="5"/>
      <c r="L1010" s="5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5"/>
      <c r="J1011" s="5"/>
      <c r="K1011" s="5"/>
      <c r="L1011" s="5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5"/>
      <c r="J1012" s="5"/>
      <c r="K1012" s="5"/>
      <c r="L1012" s="5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5"/>
      <c r="J1013" s="5"/>
      <c r="K1013" s="5"/>
      <c r="L1013" s="5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5"/>
      <c r="J1014" s="5"/>
      <c r="K1014" s="5"/>
      <c r="L1014" s="5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5"/>
      <c r="J1015" s="5"/>
      <c r="K1015" s="5"/>
      <c r="L1015" s="5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5"/>
      <c r="J1016" s="5"/>
      <c r="K1016" s="5"/>
      <c r="L1016" s="5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5"/>
      <c r="J1017" s="5"/>
      <c r="K1017" s="5"/>
      <c r="L1017" s="5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5"/>
      <c r="J1018" s="5"/>
      <c r="K1018" s="5"/>
      <c r="L1018" s="5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5"/>
      <c r="J1019" s="5"/>
      <c r="K1019" s="5"/>
      <c r="L1019" s="5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5"/>
      <c r="J1020" s="5"/>
      <c r="K1020" s="5"/>
      <c r="L1020" s="5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5"/>
      <c r="J1021" s="5"/>
      <c r="K1021" s="5"/>
      <c r="L1021" s="5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5"/>
      <c r="J1022" s="5"/>
      <c r="K1022" s="5"/>
      <c r="L1022" s="5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5"/>
      <c r="J1023" s="5"/>
      <c r="K1023" s="5"/>
      <c r="L1023" s="5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5"/>
      <c r="J1024" s="5"/>
      <c r="K1024" s="5"/>
      <c r="L1024" s="5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5"/>
      <c r="J1025" s="5"/>
      <c r="K1025" s="5"/>
      <c r="L1025" s="5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5"/>
      <c r="J1026" s="5"/>
      <c r="K1026" s="5"/>
      <c r="L1026" s="5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5"/>
      <c r="J1027" s="5"/>
      <c r="K1027" s="5"/>
      <c r="L1027" s="5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5"/>
      <c r="J1028" s="5"/>
      <c r="K1028" s="5"/>
      <c r="L1028" s="5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5"/>
      <c r="J1029" s="5"/>
      <c r="K1029" s="5"/>
      <c r="L1029" s="5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5"/>
      <c r="J1030" s="5"/>
      <c r="K1030" s="5"/>
      <c r="L1030" s="5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5"/>
      <c r="J1031" s="5"/>
      <c r="K1031" s="5"/>
      <c r="L1031" s="5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5"/>
      <c r="J1032" s="5"/>
      <c r="K1032" s="5"/>
      <c r="L1032" s="5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5"/>
      <c r="J1033" s="5"/>
      <c r="K1033" s="5"/>
      <c r="L1033" s="5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5"/>
      <c r="J1034" s="5"/>
      <c r="K1034" s="5"/>
      <c r="L1034" s="5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5"/>
      <c r="J1035" s="5"/>
      <c r="K1035" s="5"/>
      <c r="L1035" s="5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5"/>
      <c r="J1036" s="5"/>
      <c r="K1036" s="5"/>
      <c r="L1036" s="5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5"/>
      <c r="J1037" s="5"/>
      <c r="K1037" s="5"/>
      <c r="L1037" s="5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5"/>
      <c r="J1038" s="5"/>
      <c r="K1038" s="5"/>
      <c r="L1038" s="5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5"/>
      <c r="J1039" s="5"/>
      <c r="K1039" s="5"/>
      <c r="L1039" s="5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5"/>
      <c r="J1040" s="5"/>
      <c r="K1040" s="5"/>
      <c r="L1040" s="5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5"/>
      <c r="J1041" s="5"/>
      <c r="K1041" s="5"/>
      <c r="L1041" s="5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5"/>
      <c r="J1042" s="5"/>
      <c r="K1042" s="5"/>
      <c r="L1042" s="5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5"/>
      <c r="J1043" s="5"/>
      <c r="K1043" s="5"/>
      <c r="L1043" s="5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5"/>
      <c r="J1044" s="5"/>
      <c r="K1044" s="5"/>
      <c r="L1044" s="5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5"/>
      <c r="J1045" s="5"/>
      <c r="K1045" s="5"/>
      <c r="L1045" s="5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5"/>
      <c r="J1046" s="5"/>
      <c r="K1046" s="5"/>
      <c r="L1046" s="5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5"/>
      <c r="J1047" s="5"/>
      <c r="K1047" s="5"/>
      <c r="L1047" s="5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5"/>
      <c r="J1048" s="5"/>
      <c r="K1048" s="5"/>
      <c r="L1048" s="5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5"/>
      <c r="J1049" s="5"/>
      <c r="K1049" s="5"/>
      <c r="L1049" s="5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5"/>
      <c r="J1050" s="5"/>
      <c r="K1050" s="5"/>
      <c r="L1050" s="5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5"/>
      <c r="J1051" s="5"/>
      <c r="K1051" s="5"/>
      <c r="L1051" s="5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5"/>
      <c r="J1052" s="5"/>
      <c r="K1052" s="5"/>
      <c r="L1052" s="5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5"/>
      <c r="J1053" s="5"/>
      <c r="K1053" s="5"/>
      <c r="L1053" s="5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5"/>
      <c r="J1054" s="5"/>
      <c r="K1054" s="5"/>
      <c r="L1054" s="5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5"/>
      <c r="J1055" s="5"/>
      <c r="K1055" s="5"/>
      <c r="L1055" s="5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5"/>
      <c r="J1056" s="5"/>
      <c r="K1056" s="5"/>
      <c r="L1056" s="5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5"/>
      <c r="J1057" s="5"/>
      <c r="K1057" s="5"/>
      <c r="L1057" s="5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5"/>
      <c r="J1058" s="5"/>
      <c r="K1058" s="5"/>
      <c r="L1058" s="5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5"/>
      <c r="J1059" s="5"/>
      <c r="K1059" s="5"/>
      <c r="L1059" s="5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5"/>
      <c r="J1060" s="5"/>
      <c r="K1060" s="5"/>
      <c r="L1060" s="5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5"/>
      <c r="J1061" s="5"/>
      <c r="K1061" s="5"/>
      <c r="L1061" s="5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5"/>
      <c r="J1062" s="5"/>
      <c r="K1062" s="5"/>
      <c r="L1062" s="5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5"/>
      <c r="J1063" s="5"/>
      <c r="K1063" s="5"/>
      <c r="L1063" s="5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5"/>
      <c r="J1064" s="5"/>
      <c r="K1064" s="5"/>
      <c r="L1064" s="5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5"/>
      <c r="J1065" s="5"/>
      <c r="K1065" s="5"/>
      <c r="L1065" s="5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5"/>
      <c r="J1066" s="5"/>
      <c r="K1066" s="5"/>
      <c r="L1066" s="5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5"/>
      <c r="J1067" s="5"/>
      <c r="K1067" s="5"/>
      <c r="L1067" s="5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5"/>
      <c r="J1068" s="5"/>
      <c r="K1068" s="5"/>
      <c r="L1068" s="5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5"/>
      <c r="J1069" s="5"/>
      <c r="K1069" s="5"/>
      <c r="L1069" s="5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5"/>
      <c r="J1070" s="5"/>
      <c r="K1070" s="5"/>
      <c r="L1070" s="5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5"/>
      <c r="J1071" s="5"/>
      <c r="K1071" s="5"/>
      <c r="L1071" s="5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5"/>
      <c r="J1072" s="5"/>
      <c r="K1072" s="5"/>
      <c r="L1072" s="5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5"/>
      <c r="J1073" s="5"/>
      <c r="K1073" s="5"/>
      <c r="L1073" s="5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5"/>
      <c r="J1074" s="5"/>
      <c r="K1074" s="5"/>
      <c r="L1074" s="5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K23"/>
    <hyperlink r:id="rId46" ref="I24"/>
    <hyperlink r:id="rId47" ref="J24"/>
    <hyperlink r:id="rId48" ref="I25"/>
    <hyperlink r:id="rId49" ref="J25"/>
    <hyperlink r:id="rId50" ref="I26"/>
    <hyperlink r:id="rId51" ref="J26"/>
    <hyperlink r:id="rId52" ref="I27"/>
    <hyperlink r:id="rId53" ref="J27"/>
    <hyperlink r:id="rId54" ref="I28"/>
    <hyperlink r:id="rId55" ref="J28"/>
    <hyperlink r:id="rId56" ref="I29"/>
    <hyperlink r:id="rId57" ref="J29"/>
    <hyperlink r:id="rId58" ref="I30"/>
    <hyperlink r:id="rId59" ref="J30"/>
    <hyperlink r:id="rId60" ref="I31"/>
    <hyperlink r:id="rId61" ref="J31"/>
    <hyperlink r:id="rId62" ref="I32"/>
    <hyperlink r:id="rId63" ref="J32"/>
    <hyperlink r:id="rId64" ref="I33"/>
    <hyperlink r:id="rId65" ref="J33"/>
    <hyperlink r:id="rId66" ref="I34"/>
    <hyperlink r:id="rId67" ref="J34"/>
    <hyperlink r:id="rId68" ref="I35"/>
    <hyperlink r:id="rId69" ref="J35"/>
    <hyperlink r:id="rId70" ref="I36"/>
    <hyperlink r:id="rId71" ref="J36"/>
    <hyperlink r:id="rId72" ref="I37"/>
    <hyperlink r:id="rId73" ref="J37"/>
    <hyperlink r:id="rId74" ref="I38"/>
    <hyperlink r:id="rId75" ref="J38"/>
    <hyperlink r:id="rId76" ref="I39"/>
    <hyperlink r:id="rId77" ref="J39"/>
    <hyperlink r:id="rId78" ref="I40"/>
    <hyperlink r:id="rId79" ref="J40"/>
    <hyperlink r:id="rId80" ref="I41"/>
    <hyperlink r:id="rId81" ref="J41"/>
    <hyperlink r:id="rId82" ref="I42"/>
    <hyperlink r:id="rId83" ref="J42"/>
    <hyperlink r:id="rId84" ref="I43"/>
    <hyperlink r:id="rId85" ref="J43"/>
    <hyperlink r:id="rId86" ref="I44"/>
    <hyperlink r:id="rId87" ref="J44"/>
    <hyperlink r:id="rId88" ref="I45"/>
    <hyperlink r:id="rId89" ref="J45"/>
    <hyperlink r:id="rId90" ref="I46"/>
    <hyperlink r:id="rId91" ref="J46"/>
    <hyperlink r:id="rId92" ref="I47"/>
    <hyperlink r:id="rId93" ref="J47"/>
    <hyperlink r:id="rId94" ref="I48"/>
    <hyperlink r:id="rId95" ref="J48"/>
    <hyperlink r:id="rId96" ref="I49"/>
    <hyperlink r:id="rId97" ref="J49"/>
    <hyperlink r:id="rId98" ref="I50"/>
    <hyperlink r:id="rId99" ref="J50"/>
    <hyperlink r:id="rId100" ref="I51"/>
    <hyperlink r:id="rId101" ref="J51"/>
    <hyperlink r:id="rId102" ref="I52"/>
    <hyperlink r:id="rId103" ref="J52"/>
    <hyperlink r:id="rId104" ref="I53"/>
    <hyperlink r:id="rId105" ref="J53"/>
    <hyperlink r:id="rId106" ref="I54"/>
    <hyperlink r:id="rId107" ref="J54"/>
    <hyperlink r:id="rId108" ref="I55"/>
    <hyperlink r:id="rId109" ref="J55"/>
    <hyperlink r:id="rId110" ref="I56"/>
    <hyperlink r:id="rId111" ref="J56"/>
    <hyperlink r:id="rId112" ref="I57"/>
    <hyperlink r:id="rId113" ref="J57"/>
    <hyperlink r:id="rId114" ref="I58"/>
    <hyperlink r:id="rId115" ref="J58"/>
    <hyperlink r:id="rId116" ref="I59"/>
    <hyperlink r:id="rId117" ref="J59"/>
    <hyperlink r:id="rId118" ref="I60"/>
    <hyperlink r:id="rId119" ref="J60"/>
    <hyperlink r:id="rId120" ref="I61"/>
    <hyperlink r:id="rId121" ref="J61"/>
    <hyperlink r:id="rId122" ref="I62"/>
    <hyperlink r:id="rId123" ref="J62"/>
    <hyperlink r:id="rId124" ref="I63"/>
    <hyperlink r:id="rId125" ref="J63"/>
    <hyperlink r:id="rId126" ref="I64"/>
    <hyperlink r:id="rId127" ref="J64"/>
    <hyperlink r:id="rId128" ref="I65"/>
    <hyperlink r:id="rId129" ref="J65"/>
    <hyperlink r:id="rId130" ref="I66"/>
    <hyperlink r:id="rId131" ref="J66"/>
    <hyperlink r:id="rId132" ref="I67"/>
    <hyperlink r:id="rId133" ref="J67"/>
    <hyperlink r:id="rId134" ref="I68"/>
    <hyperlink r:id="rId135" ref="J68"/>
    <hyperlink r:id="rId136" ref="I69"/>
    <hyperlink r:id="rId137" ref="J69"/>
    <hyperlink r:id="rId138" ref="I70"/>
    <hyperlink r:id="rId139" ref="J70"/>
    <hyperlink r:id="rId140" ref="I71"/>
    <hyperlink r:id="rId141" ref="J71"/>
    <hyperlink r:id="rId142" ref="I72"/>
    <hyperlink r:id="rId143" ref="J72"/>
    <hyperlink r:id="rId144" ref="I73"/>
    <hyperlink r:id="rId145" ref="J73"/>
    <hyperlink r:id="rId146" ref="I74"/>
    <hyperlink r:id="rId147" ref="J74"/>
    <hyperlink r:id="rId148" ref="I75"/>
    <hyperlink r:id="rId149" ref="J75"/>
    <hyperlink r:id="rId150" ref="I76"/>
    <hyperlink r:id="rId151" ref="J76"/>
    <hyperlink r:id="rId152" ref="I77"/>
    <hyperlink r:id="rId153" ref="J77"/>
    <hyperlink r:id="rId154" ref="I78"/>
    <hyperlink r:id="rId155" ref="J78"/>
    <hyperlink r:id="rId156" ref="I79"/>
    <hyperlink r:id="rId157" ref="J79"/>
    <hyperlink r:id="rId158" ref="I80"/>
    <hyperlink r:id="rId159" ref="J80"/>
    <hyperlink r:id="rId160" ref="I81"/>
    <hyperlink r:id="rId161" ref="J81"/>
    <hyperlink r:id="rId162" ref="I82"/>
    <hyperlink r:id="rId163" ref="J82"/>
    <hyperlink r:id="rId164" ref="I83"/>
    <hyperlink r:id="rId165" ref="J83"/>
    <hyperlink r:id="rId166" ref="I84"/>
    <hyperlink r:id="rId167" ref="J84"/>
    <hyperlink r:id="rId168" ref="I85"/>
    <hyperlink r:id="rId169" ref="J85"/>
    <hyperlink r:id="rId170" ref="I86"/>
    <hyperlink r:id="rId171" ref="J86"/>
    <hyperlink r:id="rId172" ref="J87"/>
    <hyperlink r:id="rId173" ref="I88"/>
    <hyperlink r:id="rId174" ref="J88"/>
    <hyperlink r:id="rId175" ref="I89"/>
    <hyperlink r:id="rId176" ref="J89"/>
    <hyperlink r:id="rId177" ref="I90"/>
    <hyperlink r:id="rId178" ref="J90"/>
    <hyperlink r:id="rId179" ref="I91"/>
    <hyperlink r:id="rId180" ref="J91"/>
    <hyperlink r:id="rId181" ref="I92"/>
    <hyperlink r:id="rId182" ref="J92"/>
    <hyperlink r:id="rId183" ref="I93"/>
    <hyperlink r:id="rId184" ref="J93"/>
    <hyperlink r:id="rId185" ref="I94"/>
    <hyperlink r:id="rId186" ref="J94"/>
    <hyperlink r:id="rId187" ref="I95"/>
    <hyperlink r:id="rId188" ref="J95"/>
    <hyperlink r:id="rId189" ref="I96"/>
    <hyperlink r:id="rId190" ref="J96"/>
    <hyperlink r:id="rId191" ref="I97"/>
    <hyperlink r:id="rId192" ref="J97"/>
    <hyperlink r:id="rId193" ref="I98"/>
    <hyperlink r:id="rId194" ref="J98"/>
    <hyperlink r:id="rId195" ref="I99"/>
    <hyperlink r:id="rId196" ref="J99"/>
    <hyperlink r:id="rId197" ref="J100"/>
    <hyperlink r:id="rId198" ref="J101"/>
    <hyperlink r:id="rId199" ref="J102"/>
    <hyperlink r:id="rId200" ref="I103"/>
    <hyperlink r:id="rId201" ref="J103"/>
    <hyperlink r:id="rId202" ref="J104"/>
    <hyperlink r:id="rId203" ref="I105"/>
    <hyperlink r:id="rId204" ref="J105"/>
    <hyperlink r:id="rId205" ref="I107"/>
    <hyperlink r:id="rId206" ref="J107"/>
    <hyperlink r:id="rId207" ref="I108"/>
    <hyperlink r:id="rId208" ref="J108"/>
    <hyperlink r:id="rId209" ref="I109"/>
    <hyperlink r:id="rId210" ref="J109"/>
    <hyperlink r:id="rId211" ref="I110"/>
    <hyperlink r:id="rId212" ref="J110"/>
    <hyperlink r:id="rId213" ref="I111"/>
    <hyperlink r:id="rId214" ref="J111"/>
    <hyperlink r:id="rId215" ref="I112"/>
    <hyperlink r:id="rId216" ref="J112"/>
    <hyperlink r:id="rId217" ref="I113"/>
    <hyperlink r:id="rId218" ref="J113"/>
    <hyperlink r:id="rId219" ref="I114"/>
    <hyperlink r:id="rId220" ref="J114"/>
    <hyperlink r:id="rId221" ref="I115"/>
    <hyperlink r:id="rId222" ref="J115"/>
    <hyperlink r:id="rId223" ref="I116"/>
    <hyperlink r:id="rId224" ref="J116"/>
    <hyperlink r:id="rId225" ref="I117"/>
    <hyperlink r:id="rId226" ref="J117"/>
    <hyperlink r:id="rId227" ref="I118"/>
    <hyperlink r:id="rId228" ref="J118"/>
    <hyperlink r:id="rId229" ref="I119"/>
    <hyperlink r:id="rId230" ref="J119"/>
    <hyperlink r:id="rId231" ref="I120"/>
    <hyperlink r:id="rId232" ref="J120"/>
    <hyperlink r:id="rId233" ref="I121"/>
    <hyperlink r:id="rId234" ref="J121"/>
    <hyperlink r:id="rId235" ref="I122"/>
    <hyperlink r:id="rId236" ref="J122"/>
    <hyperlink r:id="rId237" ref="I123"/>
    <hyperlink r:id="rId238" ref="J123"/>
    <hyperlink r:id="rId239" ref="I124"/>
    <hyperlink r:id="rId240" ref="J124"/>
    <hyperlink r:id="rId241" ref="I125"/>
    <hyperlink r:id="rId242" ref="J125"/>
    <hyperlink r:id="rId243" ref="I126"/>
    <hyperlink r:id="rId244" ref="J126"/>
    <hyperlink r:id="rId245" ref="I127"/>
    <hyperlink r:id="rId246" ref="J127"/>
    <hyperlink r:id="rId247" ref="K127"/>
    <hyperlink r:id="rId248" ref="I128"/>
    <hyperlink r:id="rId249" ref="J128"/>
    <hyperlink r:id="rId250" ref="I129"/>
    <hyperlink r:id="rId251" ref="J129"/>
    <hyperlink r:id="rId252" ref="I130"/>
    <hyperlink r:id="rId253" ref="J130"/>
    <hyperlink r:id="rId254" ref="K130"/>
    <hyperlink r:id="rId255" ref="J131"/>
    <hyperlink r:id="rId256" ref="I132"/>
    <hyperlink r:id="rId257" ref="J132"/>
    <hyperlink r:id="rId258" ref="I133"/>
    <hyperlink r:id="rId259" ref="J133"/>
    <hyperlink r:id="rId260" ref="I134"/>
    <hyperlink r:id="rId261" ref="J134"/>
    <hyperlink r:id="rId262" ref="I135"/>
    <hyperlink r:id="rId263" ref="J135"/>
    <hyperlink r:id="rId264" ref="I136"/>
    <hyperlink r:id="rId265" ref="J136"/>
    <hyperlink r:id="rId266" ref="I137"/>
    <hyperlink r:id="rId267" ref="J137"/>
    <hyperlink r:id="rId268" ref="I138"/>
    <hyperlink r:id="rId269" ref="J138"/>
    <hyperlink r:id="rId270" ref="I139"/>
    <hyperlink r:id="rId271" ref="J139"/>
    <hyperlink r:id="rId272" ref="I141"/>
    <hyperlink r:id="rId273" ref="J141"/>
    <hyperlink r:id="rId274" ref="I142"/>
    <hyperlink r:id="rId275" ref="J142"/>
    <hyperlink r:id="rId276" ref="I143"/>
    <hyperlink r:id="rId277" ref="J143"/>
    <hyperlink r:id="rId278" ref="I144"/>
    <hyperlink r:id="rId279" ref="J144"/>
    <hyperlink r:id="rId280" ref="I145"/>
    <hyperlink r:id="rId281" ref="J145"/>
    <hyperlink r:id="rId282" ref="I146"/>
    <hyperlink r:id="rId283" ref="J146"/>
    <hyperlink r:id="rId284" ref="I147"/>
    <hyperlink r:id="rId285" ref="J147"/>
    <hyperlink r:id="rId286" ref="I148"/>
    <hyperlink r:id="rId287" ref="J148"/>
    <hyperlink r:id="rId288" ref="I149"/>
    <hyperlink r:id="rId289" ref="J149"/>
    <hyperlink r:id="rId290" ref="I150"/>
    <hyperlink r:id="rId291" ref="J150"/>
    <hyperlink r:id="rId292" ref="I151"/>
    <hyperlink r:id="rId293" ref="J151"/>
    <hyperlink r:id="rId294" ref="I152"/>
    <hyperlink r:id="rId295" ref="J152"/>
    <hyperlink r:id="rId296" ref="I153"/>
    <hyperlink r:id="rId297" ref="J153"/>
    <hyperlink r:id="rId298" ref="I154"/>
    <hyperlink r:id="rId299" ref="J154"/>
    <hyperlink r:id="rId300" ref="I155"/>
    <hyperlink r:id="rId301" ref="J155"/>
    <hyperlink r:id="rId302" ref="I156"/>
    <hyperlink r:id="rId303" ref="J156"/>
    <hyperlink r:id="rId304" ref="I157"/>
    <hyperlink r:id="rId305" ref="J157"/>
    <hyperlink r:id="rId306" ref="I158"/>
    <hyperlink r:id="rId307" ref="J158"/>
    <hyperlink r:id="rId308" ref="I159"/>
    <hyperlink r:id="rId309" ref="J159"/>
    <hyperlink r:id="rId310" ref="K159"/>
    <hyperlink r:id="rId311" ref="L159"/>
    <hyperlink r:id="rId312" ref="I160"/>
    <hyperlink r:id="rId313" ref="J160"/>
    <hyperlink r:id="rId314" ref="I162"/>
    <hyperlink r:id="rId315" ref="J162"/>
    <hyperlink r:id="rId316" ref="I163"/>
    <hyperlink r:id="rId317" ref="J163"/>
    <hyperlink r:id="rId318" ref="I164"/>
    <hyperlink r:id="rId319" ref="J164"/>
    <hyperlink r:id="rId320" ref="I165"/>
    <hyperlink r:id="rId321" ref="J165"/>
    <hyperlink r:id="rId322" ref="I166"/>
    <hyperlink r:id="rId323" ref="J166"/>
    <hyperlink r:id="rId324" ref="I167"/>
    <hyperlink r:id="rId325" ref="J167"/>
  </hyperlinks>
  <drawing r:id="rId326"/>
  <tableParts count="1">
    <tablePart r:id="rId3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3.88"/>
    <col customWidth="1" min="3" max="3" width="57.13"/>
    <col customWidth="1" min="12" max="12" width="26.38"/>
    <col customWidth="1" min="13" max="13" width="20.38"/>
    <col customWidth="1" min="14" max="14" width="15.75"/>
  </cols>
  <sheetData>
    <row r="1">
      <c r="A1" s="93"/>
      <c r="B1" s="94"/>
      <c r="C1" s="95" t="s">
        <v>1054</v>
      </c>
      <c r="D1" s="95"/>
      <c r="E1" s="94"/>
      <c r="F1" s="94"/>
      <c r="G1" s="94"/>
      <c r="H1" s="96"/>
      <c r="I1" s="96"/>
      <c r="J1" s="97"/>
      <c r="K1" s="98" t="s">
        <v>1055</v>
      </c>
      <c r="L1" s="96"/>
      <c r="M1" s="96"/>
      <c r="N1" s="96"/>
    </row>
    <row r="2">
      <c r="A2" s="94"/>
      <c r="B2" s="94"/>
      <c r="C2" s="99" t="s">
        <v>1056</v>
      </c>
      <c r="D2" s="100"/>
      <c r="E2" s="94"/>
      <c r="F2" s="94"/>
      <c r="G2" s="94"/>
      <c r="H2" s="96"/>
      <c r="I2" s="96"/>
      <c r="J2" s="96"/>
      <c r="K2" s="94"/>
      <c r="L2" s="96"/>
      <c r="M2" s="96"/>
      <c r="N2" s="96"/>
    </row>
    <row r="3">
      <c r="A3" s="94"/>
      <c r="B3" s="94"/>
      <c r="C3" s="101"/>
      <c r="D3" s="94"/>
      <c r="E3" s="94"/>
      <c r="F3" s="94"/>
      <c r="G3" s="94"/>
      <c r="H3" s="96"/>
      <c r="I3" s="96"/>
      <c r="J3" s="96"/>
      <c r="K3" s="94"/>
      <c r="L3" s="96"/>
      <c r="M3" s="96"/>
      <c r="N3" s="96"/>
    </row>
    <row r="4">
      <c r="A4" s="102" t="s">
        <v>1057</v>
      </c>
      <c r="B4" s="103" t="s">
        <v>1058</v>
      </c>
      <c r="C4" s="102" t="s">
        <v>1059</v>
      </c>
      <c r="D4" s="102" t="s">
        <v>2</v>
      </c>
      <c r="E4" s="102" t="s">
        <v>4</v>
      </c>
      <c r="F4" s="102" t="s">
        <v>5</v>
      </c>
      <c r="G4" s="102" t="s">
        <v>6</v>
      </c>
      <c r="H4" s="102" t="s">
        <v>1060</v>
      </c>
      <c r="I4" s="103" t="s">
        <v>1061</v>
      </c>
      <c r="J4" s="102" t="s">
        <v>1062</v>
      </c>
      <c r="K4" s="102" t="s">
        <v>1063</v>
      </c>
      <c r="L4" s="103" t="s">
        <v>1064</v>
      </c>
      <c r="M4" s="102" t="s">
        <v>1065</v>
      </c>
      <c r="N4" s="102" t="s">
        <v>7</v>
      </c>
    </row>
    <row r="5">
      <c r="A5" s="104">
        <v>1.0</v>
      </c>
      <c r="B5" s="105" t="s">
        <v>10</v>
      </c>
      <c r="C5" s="106" t="str">
        <f>IFERROR(VLOOKUP(B5,'Spesifikasi Bahan'!$A$2:$B$10074,2,FALSE),"")</f>
        <v>Stearic Acid</v>
      </c>
      <c r="D5" s="106" t="str">
        <f>IFERROR(VLOOKUP(B5,'Spesifikasi Bahan'!$A$2:$C$10074,3,FALSE),"")</f>
        <v>C18H36O2</v>
      </c>
      <c r="E5" s="106">
        <f>IFERROR(VLOOKUP(B5,'Spesifikasi Bahan'!$A$2:$E$10074,5,FALSE),"")</f>
        <v>500</v>
      </c>
      <c r="F5" s="106" t="str">
        <f>IFERROR(VLOOKUP(B5,'Spesifikasi Bahan'!$A$2:$F$10074,6,FALSE),"")</f>
        <v>gram</v>
      </c>
      <c r="G5" s="106">
        <f>IFERROR(VLOOKUP(B5,'Spesifikasi Bahan'!$A$2:$G$10074,7,FALSE),"")</f>
        <v>250</v>
      </c>
      <c r="H5" s="107">
        <f t="shared" ref="H5:H116" si="1">I5-J5</f>
        <v>598.6</v>
      </c>
      <c r="I5" s="107">
        <f>SUMIF('Form Responses Incoming'!$C$2:$C$10131,B5,'Form Responses Incoming'!$D$2:D10131)</f>
        <v>600</v>
      </c>
      <c r="J5" s="107">
        <f>SUMIF('Form Responses Usage'!$C$2:$C$11115,B5,'Form Responses Usage'!$D$2:$D$11115)</f>
        <v>1.4</v>
      </c>
      <c r="K5" s="108" t="str">
        <f t="shared" ref="K5:K205" si="2">IF(H5&lt;G5,"Limited Stock","OK")</f>
        <v>OK</v>
      </c>
      <c r="L5" s="109" t="str">
        <f>IFERROR(VLOOKUP(B5,'Spesifikasi Bahan'!$A$2:$D$10074,4,FALSE),"")</f>
        <v>1.75366.0100 SigmaAldrich</v>
      </c>
      <c r="M5" s="110"/>
      <c r="N5" s="104" t="e">
        <v>#N/A</v>
      </c>
    </row>
    <row r="6">
      <c r="A6" s="104">
        <v>2.0</v>
      </c>
      <c r="B6" s="105" t="s">
        <v>18</v>
      </c>
      <c r="C6" s="106" t="str">
        <f>IFERROR(VLOOKUP(B6,'Spesifikasi Bahan'!$A$2:$B$10074,2,FALSE),"")</f>
        <v>1,8-Dihydroxy-2-(4-Sulfophenylazo)-Naphthalen-3,6-Disulfonic Acid Trisodium Salt/SPADNS</v>
      </c>
      <c r="D6" s="106" t="str">
        <f>IFERROR(VLOOKUP(B6,'Spesifikasi Bahan'!$A$2:$C$10074,3,FALSE),"")</f>
        <v>-</v>
      </c>
      <c r="E6" s="106">
        <f>IFERROR(VLOOKUP(B6,'Spesifikasi Bahan'!$A$2:$E$10074,5,FALSE),"")</f>
        <v>25</v>
      </c>
      <c r="F6" s="106" t="str">
        <f>IFERROR(VLOOKUP(B6,'Spesifikasi Bahan'!$A$2:$F$10074,6,FALSE),"")</f>
        <v>gram</v>
      </c>
      <c r="G6" s="106">
        <f>IFERROR(VLOOKUP(B6,'Spesifikasi Bahan'!$A$2:$G$10074,7,FALSE),"")</f>
        <v>10</v>
      </c>
      <c r="H6" s="107">
        <f t="shared" si="1"/>
        <v>496.6455</v>
      </c>
      <c r="I6" s="107">
        <f>SUMIF('Form Responses Incoming'!$C$2:$C$10131,B6,'Form Responses Incoming'!$D$2:D10132)</f>
        <v>500</v>
      </c>
      <c r="J6" s="107">
        <f>SUMIF('Form Responses Usage'!$C$2:$C$11115,B6,'Form Responses Usage'!$D$2:$D$11115)</f>
        <v>3.3545</v>
      </c>
      <c r="K6" s="108" t="str">
        <f t="shared" si="2"/>
        <v>OK</v>
      </c>
      <c r="L6" s="109" t="str">
        <f>IFERROR(VLOOKUP(B6,'Spesifikasi Bahan'!$A$2:$D$10074,4,FALSE),"")</f>
        <v>1.07998.0025 - SigmaAldrich</v>
      </c>
      <c r="M6" s="110"/>
      <c r="N6" s="104" t="e">
        <v>#N/A</v>
      </c>
    </row>
    <row r="7">
      <c r="A7" s="104">
        <v>3.0</v>
      </c>
      <c r="B7" s="105" t="s">
        <v>25</v>
      </c>
      <c r="C7" s="106" t="str">
        <f>IFERROR(VLOOKUP(B7,'Spesifikasi Bahan'!$A$2:$B$10074,2,FALSE),"")</f>
        <v>N-(1-Naphtyl)ethylenediamine dihydrochloride NEDA</v>
      </c>
      <c r="D7" s="106" t="str">
        <f>IFERROR(VLOOKUP(B7,'Spesifikasi Bahan'!$A$2:$C$10074,3,FALSE),"")</f>
        <v>-</v>
      </c>
      <c r="E7" s="106">
        <f>IFERROR(VLOOKUP(B7,'Spesifikasi Bahan'!$A$2:$E$10074,5,FALSE),"")</f>
        <v>25</v>
      </c>
      <c r="F7" s="106" t="str">
        <f>IFERROR(VLOOKUP(B7,'Spesifikasi Bahan'!$A$2:$F$10074,6,FALSE),"")</f>
        <v>gram</v>
      </c>
      <c r="G7" s="106">
        <f>IFERROR(VLOOKUP(B7,'Spesifikasi Bahan'!$A$2:$G$10074,7,FALSE),"")</f>
        <v>10</v>
      </c>
      <c r="H7" s="107">
        <f t="shared" si="1"/>
        <v>21.896</v>
      </c>
      <c r="I7" s="107">
        <f>SUMIF('Form Responses Incoming'!$C$2:$C$10131,B7,'Form Responses Incoming'!$D$2:D10133)</f>
        <v>25</v>
      </c>
      <c r="J7" s="107">
        <f>SUMIF('Form Responses Usage'!$C$2:$C$11115,B7,'Form Responses Usage'!$D$2:$D$11115)</f>
        <v>3.104</v>
      </c>
      <c r="K7" s="108" t="str">
        <f t="shared" si="2"/>
        <v>OK</v>
      </c>
      <c r="L7" s="109" t="str">
        <f>IFERROR(VLOOKUP(B7,'Spesifikasi Bahan'!$A$2:$D$10074,4,FALSE),"")</f>
        <v>1.06237.0025 - SigmaAldrich</v>
      </c>
      <c r="M7" s="110"/>
      <c r="N7" s="104" t="e">
        <v>#N/A</v>
      </c>
    </row>
    <row r="8">
      <c r="A8" s="104">
        <v>4.0</v>
      </c>
      <c r="B8" s="105" t="s">
        <v>31</v>
      </c>
      <c r="C8" s="106" t="str">
        <f>IFERROR(VLOOKUP(B8,'Spesifikasi Bahan'!$A$2:$B$10074,2,FALSE),"")</f>
        <v>Butir Cadmium</v>
      </c>
      <c r="D8" s="106" t="str">
        <f>IFERROR(VLOOKUP(B8,'Spesifikasi Bahan'!$A$2:$C$10074,3,FALSE),"")</f>
        <v>Cd</v>
      </c>
      <c r="E8" s="106">
        <f>IFERROR(VLOOKUP(B8,'Spesifikasi Bahan'!$A$2:$E$10074,5,FALSE),"")</f>
        <v>250</v>
      </c>
      <c r="F8" s="106" t="str">
        <f>IFERROR(VLOOKUP(B8,'Spesifikasi Bahan'!$A$2:$F$10074,6,FALSE),"")</f>
        <v>gram</v>
      </c>
      <c r="G8" s="106">
        <f>IFERROR(VLOOKUP(B8,'Spesifikasi Bahan'!$A$2:$G$10074,7,FALSE),"")</f>
        <v>100</v>
      </c>
      <c r="H8" s="107">
        <f t="shared" si="1"/>
        <v>425</v>
      </c>
      <c r="I8" s="107">
        <f>SUMIF('Form Responses Incoming'!$C$2:$C$10131,B8,'Form Responses Incoming'!$D$2:D10134)</f>
        <v>500</v>
      </c>
      <c r="J8" s="107">
        <f>SUMIF('Form Responses Usage'!$C$2:$C$11115,B8,'Form Responses Usage'!$D$2:$D$11115)</f>
        <v>75</v>
      </c>
      <c r="K8" s="108" t="str">
        <f t="shared" si="2"/>
        <v>OK</v>
      </c>
      <c r="L8" s="109" t="str">
        <f>IFERROR(VLOOKUP(B8,'Spesifikasi Bahan'!$A$2:$D$10074,4,FALSE),"")</f>
        <v>1.02001.0250 - SigmaAldrich</v>
      </c>
      <c r="M8" s="110"/>
      <c r="N8" s="104" t="e">
        <v>#N/A</v>
      </c>
    </row>
    <row r="9">
      <c r="A9" s="104">
        <v>5.0</v>
      </c>
      <c r="B9" s="105" t="s">
        <v>38</v>
      </c>
      <c r="C9" s="106" t="str">
        <f>IFERROR(VLOOKUP(B9,'Spesifikasi Bahan'!$A$2:$B$10074,2,FALSE),"")</f>
        <v>L-Glutamic Acid</v>
      </c>
      <c r="D9" s="106" t="str">
        <f>IFERROR(VLOOKUP(B9,'Spesifikasi Bahan'!$A$2:$C$10074,3,FALSE),"")</f>
        <v>C5H9NO4</v>
      </c>
      <c r="E9" s="106">
        <f>IFERROR(VLOOKUP(B9,'Spesifikasi Bahan'!$A$2:$E$10074,5,FALSE),"")</f>
        <v>250</v>
      </c>
      <c r="F9" s="106" t="str">
        <f>IFERROR(VLOOKUP(B9,'Spesifikasi Bahan'!$A$2:$F$10074,6,FALSE),"")</f>
        <v>gram</v>
      </c>
      <c r="G9" s="106">
        <f>IFERROR(VLOOKUP(B9,'Spesifikasi Bahan'!$A$2:$G$10074,7,FALSE),"")</f>
        <v>100</v>
      </c>
      <c r="H9" s="107">
        <f t="shared" si="1"/>
        <v>116.3578</v>
      </c>
      <c r="I9" s="107">
        <f>SUMIF('Form Responses Incoming'!$C$2:$C$10131,B9,'Form Responses Incoming'!$D$2:D10135)</f>
        <v>250</v>
      </c>
      <c r="J9" s="107">
        <f>SUMIF('Form Responses Usage'!$C$2:$C$11115,B9,'Form Responses Usage'!$D$2:$D$11115)</f>
        <v>133.6422</v>
      </c>
      <c r="K9" s="108" t="str">
        <f t="shared" si="2"/>
        <v>OK</v>
      </c>
      <c r="L9" s="109" t="str">
        <f>IFERROR(VLOOKUP(B9,'Spesifikasi Bahan'!$A$2:$D$10074,4,FALSE),"")</f>
        <v>1.00291.0250 - SigmaAldrich</v>
      </c>
      <c r="M9" s="110"/>
      <c r="N9" s="104" t="e">
        <v>#N/A</v>
      </c>
    </row>
    <row r="10">
      <c r="A10" s="104">
        <v>6.0</v>
      </c>
      <c r="B10" s="105" t="s">
        <v>45</v>
      </c>
      <c r="C10" s="106" t="str">
        <f>IFERROR(VLOOKUP(B10,'Spesifikasi Bahan'!$A$2:$B$10074,2,FALSE),"")</f>
        <v>Starch Soluble</v>
      </c>
      <c r="D10" s="106" t="str">
        <f>IFERROR(VLOOKUP(B10,'Spesifikasi Bahan'!$A$2:$C$10074,3,FALSE),"")</f>
        <v>(C₆H₁₀O₅)n</v>
      </c>
      <c r="E10" s="106">
        <f>IFERROR(VLOOKUP(B10,'Spesifikasi Bahan'!$A$2:$E$10074,5,FALSE),"")</f>
        <v>100</v>
      </c>
      <c r="F10" s="106" t="str">
        <f>IFERROR(VLOOKUP(B10,'Spesifikasi Bahan'!$A$2:$F$10074,6,FALSE),"")</f>
        <v>gram</v>
      </c>
      <c r="G10" s="106">
        <f>IFERROR(VLOOKUP(B10,'Spesifikasi Bahan'!$A$2:$G$10074,7,FALSE),"")</f>
        <v>10</v>
      </c>
      <c r="H10" s="107">
        <f t="shared" si="1"/>
        <v>98.073</v>
      </c>
      <c r="I10" s="107">
        <f>SUMIF('Form Responses Incoming'!$C$2:$C$10131,B10,'Form Responses Incoming'!$D$2:D10136)</f>
        <v>100</v>
      </c>
      <c r="J10" s="107">
        <f>SUMIF('Form Responses Usage'!$C$2:$C$11115,B10,'Form Responses Usage'!$D$2:$D$11115)</f>
        <v>1.927</v>
      </c>
      <c r="K10" s="108" t="str">
        <f t="shared" si="2"/>
        <v>OK</v>
      </c>
      <c r="L10" s="109" t="str">
        <f>IFERROR(VLOOKUP(B10,'Spesifikasi Bahan'!$A$2:$D$10074,4,FALSE),"")</f>
        <v>1.01252.0100 - Merck</v>
      </c>
      <c r="M10" s="110"/>
      <c r="N10" s="104" t="e">
        <v>#N/A</v>
      </c>
    </row>
    <row r="11">
      <c r="A11" s="104">
        <v>7.0</v>
      </c>
      <c r="B11" s="105" t="s">
        <v>52</v>
      </c>
      <c r="C11" s="106" t="str">
        <f>IFERROR(VLOOKUP(B11,'Spesifikasi Bahan'!$A$2:$B$10074,2,FALSE),"")</f>
        <v>Tembaga(II) Sulfat Pentahidrat</v>
      </c>
      <c r="D11" s="106" t="str">
        <f>IFERROR(VLOOKUP(B11,'Spesifikasi Bahan'!$A$2:$C$10074,3,FALSE),"")</f>
        <v>CuSO4.5H2O</v>
      </c>
      <c r="E11" s="106">
        <f>IFERROR(VLOOKUP(B11,'Spesifikasi Bahan'!$A$2:$E$10074,5,FALSE),"")</f>
        <v>1000</v>
      </c>
      <c r="F11" s="106" t="str">
        <f>IFERROR(VLOOKUP(B11,'Spesifikasi Bahan'!$A$2:$F$10074,6,FALSE),"")</f>
        <v>gram</v>
      </c>
      <c r="G11" s="106">
        <f>IFERROR(VLOOKUP(B11,'Spesifikasi Bahan'!$A$2:$G$10074,7,FALSE),"")</f>
        <v>250</v>
      </c>
      <c r="H11" s="107">
        <f t="shared" si="1"/>
        <v>965</v>
      </c>
      <c r="I11" s="107">
        <f>SUMIF('Form Responses Incoming'!$C$2:$C$10131,B11,'Form Responses Incoming'!$D$2:D10137)</f>
        <v>1025</v>
      </c>
      <c r="J11" s="107">
        <f>SUMIF('Form Responses Usage'!$C$2:$C$11115,B11,'Form Responses Usage'!$D$2:$D$11115)</f>
        <v>60</v>
      </c>
      <c r="K11" s="108" t="str">
        <f t="shared" si="2"/>
        <v>OK</v>
      </c>
      <c r="L11" s="109" t="str">
        <f>IFERROR(VLOOKUP(B11,'Spesifikasi Bahan'!$A$2:$D$10074,4,FALSE),"")</f>
        <v>A-2002 - Smartlab</v>
      </c>
      <c r="M11" s="111"/>
      <c r="N11" s="104" t="e">
        <v>#N/A</v>
      </c>
    </row>
    <row r="12">
      <c r="A12" s="104">
        <v>8.0</v>
      </c>
      <c r="B12" s="105" t="s">
        <v>59</v>
      </c>
      <c r="C12" s="106" t="str">
        <f>IFERROR(VLOOKUP(B12,'Spesifikasi Bahan'!$A$2:$B$10074,2,FALSE),"")</f>
        <v>Magnesium Chloride Hexahydrate</v>
      </c>
      <c r="D12" s="106" t="str">
        <f>IFERROR(VLOOKUP(B12,'Spesifikasi Bahan'!$A$2:$C$10074,3,FALSE),"")</f>
        <v>MgCl2.6H2O</v>
      </c>
      <c r="E12" s="106">
        <f>IFERROR(VLOOKUP(B12,'Spesifikasi Bahan'!$A$2:$E$10074,5,FALSE),"")</f>
        <v>250</v>
      </c>
      <c r="F12" s="106" t="str">
        <f>IFERROR(VLOOKUP(B12,'Spesifikasi Bahan'!$A$2:$F$10074,6,FALSE),"")</f>
        <v>gram</v>
      </c>
      <c r="G12" s="106">
        <f>IFERROR(VLOOKUP(B12,'Spesifikasi Bahan'!$A$2:$G$10074,7,FALSE),"")</f>
        <v>100</v>
      </c>
      <c r="H12" s="107">
        <f t="shared" si="1"/>
        <v>304.9894</v>
      </c>
      <c r="I12" s="107">
        <f>SUMIF('Form Responses Incoming'!$C$2:$C$10131,B12,'Form Responses Incoming'!$D$2:D10138)</f>
        <v>500</v>
      </c>
      <c r="J12" s="107">
        <f>SUMIF('Form Responses Usage'!$C$2:$C$11115,B12,'Form Responses Usage'!$D$2:$D$11115)</f>
        <v>195.0106</v>
      </c>
      <c r="K12" s="108" t="str">
        <f t="shared" si="2"/>
        <v>OK</v>
      </c>
      <c r="L12" s="109" t="str">
        <f>IFERROR(VLOOKUP(B12,'Spesifikasi Bahan'!$A$2:$D$10074,4,FALSE),"")</f>
        <v>1.05833.0250 - Merck</v>
      </c>
      <c r="M12" s="110"/>
      <c r="N12" s="104" t="e">
        <v>#N/A</v>
      </c>
    </row>
    <row r="13">
      <c r="A13" s="104">
        <v>9.0</v>
      </c>
      <c r="B13" s="105" t="s">
        <v>66</v>
      </c>
      <c r="C13" s="106" t="str">
        <f>IFERROR(VLOOKUP(B13,'Spesifikasi Bahan'!$A$2:$B$10074,2,FALSE),"")</f>
        <v>Potasium Iodida</v>
      </c>
      <c r="D13" s="106" t="str">
        <f>IFERROR(VLOOKUP(B13,'Spesifikasi Bahan'!$A$2:$C$10074,3,FALSE),"")</f>
        <v>KI</v>
      </c>
      <c r="E13" s="106">
        <f>IFERROR(VLOOKUP(B13,'Spesifikasi Bahan'!$A$2:$E$10074,5,FALSE),"")</f>
        <v>500</v>
      </c>
      <c r="F13" s="106" t="str">
        <f>IFERROR(VLOOKUP(B13,'Spesifikasi Bahan'!$A$2:$F$10074,6,FALSE),"")</f>
        <v>gram</v>
      </c>
      <c r="G13" s="106">
        <f>IFERROR(VLOOKUP(B13,'Spesifikasi Bahan'!$A$2:$G$10074,7,FALSE),"")</f>
        <v>10</v>
      </c>
      <c r="H13" s="107">
        <f t="shared" si="1"/>
        <v>448.9888</v>
      </c>
      <c r="I13" s="107">
        <f>SUMIF('Form Responses Incoming'!$C$2:$C$10131,B13,'Form Responses Incoming'!$D$2:D10139)</f>
        <v>500</v>
      </c>
      <c r="J13" s="107">
        <f>SUMIF('Form Responses Usage'!$C$2:$C$11115,B13,'Form Responses Usage'!$D$2:$D$11115)</f>
        <v>51.0112</v>
      </c>
      <c r="K13" s="108" t="str">
        <f t="shared" si="2"/>
        <v>OK</v>
      </c>
      <c r="L13" s="109" t="str">
        <f>IFERROR(VLOOKUP(B13,'Spesifikasi Bahan'!$A$2:$D$10074,4,FALSE),"")</f>
        <v>A-2039 - Smart - Lab</v>
      </c>
      <c r="M13" s="110"/>
      <c r="N13" s="104" t="e">
        <v>#N/A</v>
      </c>
    </row>
    <row r="14">
      <c r="A14" s="104">
        <v>10.0</v>
      </c>
      <c r="B14" s="105" t="s">
        <v>73</v>
      </c>
      <c r="C14" s="106" t="str">
        <f>IFERROR(VLOOKUP(B14,'Spesifikasi Bahan'!$A$2:$B$10074,2,FALSE),"")</f>
        <v>orto-Asam Fosfor 85%</v>
      </c>
      <c r="D14" s="106" t="str">
        <f>IFERROR(VLOOKUP(B14,'Spesifikasi Bahan'!$A$2:$C$10074,3,FALSE),"")</f>
        <v>(COOH)₂.2 H₂O</v>
      </c>
      <c r="E14" s="106">
        <f>IFERROR(VLOOKUP(B14,'Spesifikasi Bahan'!$A$2:$E$10074,5,FALSE),"")</f>
        <v>500</v>
      </c>
      <c r="F14" s="106" t="str">
        <f>IFERROR(VLOOKUP(B14,'Spesifikasi Bahan'!$A$2:$F$10074,6,FALSE),"")</f>
        <v>gram</v>
      </c>
      <c r="G14" s="106">
        <f>IFERROR(VLOOKUP(B14,'Spesifikasi Bahan'!$A$2:$G$10074,7,FALSE),"")</f>
        <v>50</v>
      </c>
      <c r="H14" s="107">
        <f t="shared" si="1"/>
        <v>524.3698</v>
      </c>
      <c r="I14" s="107">
        <f>SUMIF('Form Responses Incoming'!$C$2:$C$10131,B14,'Form Responses Incoming'!$D$2:D10140)</f>
        <v>525</v>
      </c>
      <c r="J14" s="107">
        <f>SUMIF('Form Responses Usage'!$C$2:$C$11115,B14,'Form Responses Usage'!$D$2:$D$11115)</f>
        <v>0.6302</v>
      </c>
      <c r="K14" s="108" t="str">
        <f t="shared" si="2"/>
        <v>OK</v>
      </c>
      <c r="L14" s="109" t="str">
        <f>IFERROR(VLOOKUP(B14,'Spesifikasi Bahan'!$A$2:$D$10074,4,FALSE),"")</f>
        <v>05074 - LobaChemie</v>
      </c>
      <c r="M14" s="110"/>
      <c r="N14" s="104" t="e">
        <v>#N/A</v>
      </c>
    </row>
    <row r="15">
      <c r="A15" s="104">
        <v>11.0</v>
      </c>
      <c r="B15" s="105" t="s">
        <v>80</v>
      </c>
      <c r="C15" s="106" t="str">
        <f>IFERROR(VLOOKUP(B15,'Spesifikasi Bahan'!$A$2:$B$10074,2,FALSE),"")</f>
        <v>Potasium Klorida</v>
      </c>
      <c r="D15" s="106" t="str">
        <f>IFERROR(VLOOKUP(B15,'Spesifikasi Bahan'!$A$2:$C$10074,3,FALSE),"")</f>
        <v>KCl</v>
      </c>
      <c r="E15" s="106">
        <f>IFERROR(VLOOKUP(B15,'Spesifikasi Bahan'!$A$2:$E$10074,5,FALSE),"")</f>
        <v>500</v>
      </c>
      <c r="F15" s="106" t="str">
        <f>IFERROR(VLOOKUP(B15,'Spesifikasi Bahan'!$A$2:$F$10074,6,FALSE),"")</f>
        <v>gram</v>
      </c>
      <c r="G15" s="106">
        <f>IFERROR(VLOOKUP(B15,'Spesifikasi Bahan'!$A$2:$G$10074,7,FALSE),"")</f>
        <v>10</v>
      </c>
      <c r="H15" s="107">
        <f t="shared" si="1"/>
        <v>300</v>
      </c>
      <c r="I15" s="107">
        <f>SUMIF('Form Responses Incoming'!$C$2:$C$10131,B15,'Form Responses Incoming'!$D$2:D10141)</f>
        <v>300</v>
      </c>
      <c r="J15" s="107">
        <f>SUMIF('Form Responses Usage'!$C$2:$C$11115,B15,'Form Responses Usage'!$D$2:$D$11115)</f>
        <v>0</v>
      </c>
      <c r="K15" s="108" t="str">
        <f t="shared" si="2"/>
        <v>OK</v>
      </c>
      <c r="L15" s="109" t="str">
        <f>IFERROR(VLOOKUP(B15,'Spesifikasi Bahan'!$A$2:$D$10074,4,FALSE),"")</f>
        <v>1.04936.0250 - SigmaAldrich </v>
      </c>
      <c r="M15" s="110"/>
      <c r="N15" s="104" t="e">
        <v>#N/A</v>
      </c>
    </row>
    <row r="16">
      <c r="A16" s="104">
        <v>12.0</v>
      </c>
      <c r="B16" s="105" t="s">
        <v>87</v>
      </c>
      <c r="C16" s="106" t="str">
        <f>IFERROR(VLOOKUP(B16,'Spesifikasi Bahan'!$A$2:$B$10074,2,FALSE),"")</f>
        <v>Potasium Iodat</v>
      </c>
      <c r="D16" s="106" t="str">
        <f>IFERROR(VLOOKUP(B16,'Spesifikasi Bahan'!$A$2:$C$10074,3,FALSE),"")</f>
        <v>KIO₃</v>
      </c>
      <c r="E16" s="106">
        <f>IFERROR(VLOOKUP(B16,'Spesifikasi Bahan'!$A$2:$E$10074,5,FALSE),"")</f>
        <v>100</v>
      </c>
      <c r="F16" s="106" t="str">
        <f>IFERROR(VLOOKUP(B16,'Spesifikasi Bahan'!$A$2:$F$10074,6,FALSE),"")</f>
        <v>gram</v>
      </c>
      <c r="G16" s="106">
        <f>IFERROR(VLOOKUP(B16,'Spesifikasi Bahan'!$A$2:$G$10074,7,FALSE),"")</f>
        <v>50</v>
      </c>
      <c r="H16" s="107">
        <f t="shared" si="1"/>
        <v>101.8165</v>
      </c>
      <c r="I16" s="107">
        <f>SUMIF('Form Responses Incoming'!$C$2:$C$10131,B16,'Form Responses Incoming'!$D$2:D10142)</f>
        <v>105</v>
      </c>
      <c r="J16" s="107">
        <f>SUMIF('Form Responses Usage'!$C$2:$C$11115,B16,'Form Responses Usage'!$D$2:$D$11115)</f>
        <v>3.1835</v>
      </c>
      <c r="K16" s="108" t="str">
        <f t="shared" si="2"/>
        <v>OK</v>
      </c>
      <c r="L16" s="109" t="str">
        <f>IFERROR(VLOOKUP(B16,'Spesifikasi Bahan'!$A$2:$D$10074,4,FALSE),"")</f>
        <v>215929.0100 SigmaAldrich</v>
      </c>
      <c r="M16" s="111" t="s">
        <v>1066</v>
      </c>
      <c r="N16" s="104" t="e">
        <v>#N/A</v>
      </c>
    </row>
    <row r="17">
      <c r="A17" s="104">
        <v>13.0</v>
      </c>
      <c r="B17" s="105" t="s">
        <v>94</v>
      </c>
      <c r="C17" s="106" t="str">
        <f>IFERROR(VLOOKUP(B17,'Spesifikasi Bahan'!$A$2:$B$10074,2,FALSE),"")</f>
        <v>Potasium Kromat</v>
      </c>
      <c r="D17" s="106" t="str">
        <f>IFERROR(VLOOKUP(B17,'Spesifikasi Bahan'!$A$2:$C$10074,3,FALSE),"")</f>
        <v>K₂CrO₄</v>
      </c>
      <c r="E17" s="106">
        <f>IFERROR(VLOOKUP(B17,'Spesifikasi Bahan'!$A$2:$E$10074,5,FALSE),"")</f>
        <v>100</v>
      </c>
      <c r="F17" s="106" t="str">
        <f>IFERROR(VLOOKUP(B17,'Spesifikasi Bahan'!$A$2:$F$10074,6,FALSE),"")</f>
        <v>gram</v>
      </c>
      <c r="G17" s="106">
        <f>IFERROR(VLOOKUP(B17,'Spesifikasi Bahan'!$A$2:$G$10074,7,FALSE),"")</f>
        <v>10</v>
      </c>
      <c r="H17" s="107">
        <f t="shared" si="1"/>
        <v>60</v>
      </c>
      <c r="I17" s="107">
        <f>SUMIF('Form Responses Incoming'!$C$2:$C$10131,B17,'Form Responses Incoming'!$D$2:D10143)</f>
        <v>110</v>
      </c>
      <c r="J17" s="107">
        <f>SUMIF('Form Responses Usage'!$C$2:$C$11115,B17,'Form Responses Usage'!$D$2:$D$11115)</f>
        <v>50</v>
      </c>
      <c r="K17" s="108" t="str">
        <f t="shared" si="2"/>
        <v>OK</v>
      </c>
      <c r="L17" s="109" t="str">
        <f>IFERROR(VLOOKUP(B17,'Spesifikasi Bahan'!$A$2:$D$10074,4,FALSE),"")</f>
        <v>05344 - LobaChemie</v>
      </c>
      <c r="M17" s="110"/>
      <c r="N17" s="104" t="e">
        <v>#N/A</v>
      </c>
    </row>
    <row r="18">
      <c r="A18" s="104">
        <v>14.0</v>
      </c>
      <c r="B18" s="105" t="s">
        <v>101</v>
      </c>
      <c r="C18" s="106" t="str">
        <f>IFERROR(VLOOKUP(B18,'Spesifikasi Bahan'!$A$2:$B$10074,2,FALSE),"")</f>
        <v>Dodecyl Sulfate Sodium Salt</v>
      </c>
      <c r="D18" s="106" t="str">
        <f>IFERROR(VLOOKUP(B18,'Spesifikasi Bahan'!$A$2:$C$10074,3,FALSE),"")</f>
        <v>C12H25NaO4S</v>
      </c>
      <c r="E18" s="106">
        <f>IFERROR(VLOOKUP(B18,'Spesifikasi Bahan'!$A$2:$E$10074,5,FALSE),"")</f>
        <v>105</v>
      </c>
      <c r="F18" s="106" t="str">
        <f>IFERROR(VLOOKUP(B18,'Spesifikasi Bahan'!$A$2:$F$10074,6,FALSE),"")</f>
        <v>gram</v>
      </c>
      <c r="G18" s="106">
        <f>IFERROR(VLOOKUP(B18,'Spesifikasi Bahan'!$A$2:$G$10074,7,FALSE),"")</f>
        <v>10</v>
      </c>
      <c r="H18" s="107">
        <f t="shared" si="1"/>
        <v>104</v>
      </c>
      <c r="I18" s="107">
        <f>SUMIF('Form Responses Incoming'!$C$2:$C$10131,B18,'Form Responses Incoming'!$D$2:D10144)</f>
        <v>105</v>
      </c>
      <c r="J18" s="107">
        <f>SUMIF('Form Responses Usage'!$C$2:$C$11115,B18,'Form Responses Usage'!$D$2:$D$11115)</f>
        <v>1</v>
      </c>
      <c r="K18" s="108" t="str">
        <f t="shared" si="2"/>
        <v>OK</v>
      </c>
      <c r="L18" s="109" t="str">
        <f>IFERROR(VLOOKUP(B18,'Spesifikasi Bahan'!$A$2:$D$10074,4,FALSE),"")</f>
        <v>1.13760.0100 - SigmaAldrich</v>
      </c>
      <c r="M18" s="110"/>
      <c r="N18" s="104" t="e">
        <v>#N/A</v>
      </c>
    </row>
    <row r="19">
      <c r="A19" s="104">
        <v>15.0</v>
      </c>
      <c r="B19" s="105" t="s">
        <v>108</v>
      </c>
      <c r="C19" s="106" t="str">
        <f>IFERROR(VLOOKUP(B19,'Spesifikasi Bahan'!$A$2:$B$10074,2,FALSE),"")</f>
        <v>Sulfanilamide</v>
      </c>
      <c r="D19" s="106" t="str">
        <f>IFERROR(VLOOKUP(B19,'Spesifikasi Bahan'!$A$2:$C$10074,3,FALSE),"")</f>
        <v>C₆H₈N₂O₂S</v>
      </c>
      <c r="E19" s="106">
        <f>IFERROR(VLOOKUP(B19,'Spesifikasi Bahan'!$A$2:$E$10074,5,FALSE),"")</f>
        <v>100</v>
      </c>
      <c r="F19" s="106" t="str">
        <f>IFERROR(VLOOKUP(B19,'Spesifikasi Bahan'!$A$2:$F$10074,6,FALSE),"")</f>
        <v>gram</v>
      </c>
      <c r="G19" s="106">
        <f>IFERROR(VLOOKUP(B19,'Spesifikasi Bahan'!$A$2:$G$10074,7,FALSE),"")</f>
        <v>50</v>
      </c>
      <c r="H19" s="107">
        <f t="shared" si="1"/>
        <v>95</v>
      </c>
      <c r="I19" s="107">
        <f>SUMIF('Form Responses Incoming'!$C$2:$C$10131,B19,'Form Responses Incoming'!$D$2:D10145)</f>
        <v>105</v>
      </c>
      <c r="J19" s="107">
        <f>SUMIF('Form Responses Usage'!$C$2:$C$11115,B19,'Form Responses Usage'!$D$2:$D$11115)</f>
        <v>10</v>
      </c>
      <c r="K19" s="108" t="str">
        <f t="shared" si="2"/>
        <v>OK</v>
      </c>
      <c r="L19" s="109" t="str">
        <f>IFERROR(VLOOKUP(B19,'Spesifikasi Bahan'!$A$2:$D$10074,4,FALSE),"")</f>
        <v>1.11799.0100 - Merck</v>
      </c>
      <c r="M19" s="110"/>
      <c r="N19" s="104" t="e">
        <v>#N/A</v>
      </c>
    </row>
    <row r="20">
      <c r="A20" s="104">
        <v>16.0</v>
      </c>
      <c r="B20" s="105" t="s">
        <v>115</v>
      </c>
      <c r="C20" s="106" t="str">
        <f>IFERROR(VLOOKUP(B20,'Spesifikasi Bahan'!$A$2:$B$10074,2,FALSE),"")</f>
        <v>Kalium Antimon(III) Oksida Tartrat Trihidrat</v>
      </c>
      <c r="D20" s="106" t="str">
        <f>IFERROR(VLOOKUP(B20,'Spesifikasi Bahan'!$A$2:$C$10074,3,FALSE),"")</f>
        <v>K₂(SbO)₂C₈H₄O₁₀ . 3 H₂O</v>
      </c>
      <c r="E20" s="106">
        <f>IFERROR(VLOOKUP(B20,'Spesifikasi Bahan'!$A$2:$E$10074,5,FALSE),"")</f>
        <v>250</v>
      </c>
      <c r="F20" s="106" t="str">
        <f>IFERROR(VLOOKUP(B20,'Spesifikasi Bahan'!$A$2:$F$10074,6,FALSE),"")</f>
        <v>gram</v>
      </c>
      <c r="G20" s="106">
        <f>IFERROR(VLOOKUP(B20,'Spesifikasi Bahan'!$A$2:$G$10074,7,FALSE),"")</f>
        <v>100</v>
      </c>
      <c r="H20" s="107">
        <f t="shared" si="1"/>
        <v>499.808</v>
      </c>
      <c r="I20" s="107">
        <f>SUMIF('Form Responses Incoming'!$C$2:$C$10131,B20,'Form Responses Incoming'!$D$2:D10146)</f>
        <v>500</v>
      </c>
      <c r="J20" s="107">
        <f>SUMIF('Form Responses Usage'!$C$2:$C$11115,B20,'Form Responses Usage'!$D$2:$D$11115)</f>
        <v>0.192</v>
      </c>
      <c r="K20" s="108" t="str">
        <f t="shared" si="2"/>
        <v>OK</v>
      </c>
      <c r="L20" s="109" t="str">
        <f>IFERROR(VLOOKUP(B20,'Spesifikasi Bahan'!$A$2:$D$10074,4,FALSE),"")</f>
        <v>1.08092.0250 - Supelco</v>
      </c>
      <c r="M20" s="110"/>
      <c r="N20" s="104" t="e">
        <v>#N/A</v>
      </c>
    </row>
    <row r="21">
      <c r="A21" s="104">
        <v>17.0</v>
      </c>
      <c r="B21" s="105" t="s">
        <v>122</v>
      </c>
      <c r="C21" s="106" t="str">
        <f>IFERROR(VLOOKUP(B21,'Spesifikasi Bahan'!$A$2:$B$10074,2,FALSE),"")</f>
        <v>Sulfanilic Acid</v>
      </c>
      <c r="D21" s="106" t="str">
        <f>IFERROR(VLOOKUP(B21,'Spesifikasi Bahan'!$A$2:$C$10074,3,FALSE),"")</f>
        <v>NH₂C₆H₄SO₃H</v>
      </c>
      <c r="E21" s="106">
        <f>IFERROR(VLOOKUP(B21,'Spesifikasi Bahan'!$A$2:$E$10074,5,FALSE),"")</f>
        <v>100</v>
      </c>
      <c r="F21" s="106" t="str">
        <f>IFERROR(VLOOKUP(B21,'Spesifikasi Bahan'!$A$2:$F$10074,6,FALSE),"")</f>
        <v>gram</v>
      </c>
      <c r="G21" s="106">
        <f>IFERROR(VLOOKUP(B21,'Spesifikasi Bahan'!$A$2:$G$10074,7,FALSE),"")</f>
        <v>100</v>
      </c>
      <c r="H21" s="107">
        <f t="shared" si="1"/>
        <v>340</v>
      </c>
      <c r="I21" s="107">
        <f>SUMIF('Form Responses Incoming'!$C$2:$C$10131,B21,'Form Responses Incoming'!$D$2:D10147)</f>
        <v>350</v>
      </c>
      <c r="J21" s="107">
        <f>SUMIF('Form Responses Usage'!$C$2:$C$11115,B21,'Form Responses Usage'!$D$2:$D$11115)</f>
        <v>10</v>
      </c>
      <c r="K21" s="108" t="str">
        <f t="shared" si="2"/>
        <v>OK</v>
      </c>
      <c r="L21" s="109" t="str">
        <f>IFERROR(VLOOKUP(B21,'Spesifikasi Bahan'!$A$2:$D$10074,4,FALSE),"")</f>
        <v>1.00686.0250 - Supelco</v>
      </c>
      <c r="M21" s="110"/>
      <c r="N21" s="104" t="e">
        <v>#N/A</v>
      </c>
    </row>
    <row r="22">
      <c r="A22" s="104">
        <v>18.0</v>
      </c>
      <c r="B22" s="105" t="s">
        <v>129</v>
      </c>
      <c r="C22" s="106" t="str">
        <f>IFERROR(VLOOKUP(B22,'Spesifikasi Bahan'!$A$2:$B$10074,2,FALSE),"")</f>
        <v>Manganese (II) Sulfate Monohydrate</v>
      </c>
      <c r="D22" s="106" t="str">
        <f>IFERROR(VLOOKUP(B22,'Spesifikasi Bahan'!$A$2:$C$10074,3,FALSE),"")</f>
        <v>MnSO₄.H₂O</v>
      </c>
      <c r="E22" s="106">
        <f>IFERROR(VLOOKUP(B22,'Spesifikasi Bahan'!$A$2:$E$10074,5,FALSE),"")</f>
        <v>250</v>
      </c>
      <c r="F22" s="106" t="str">
        <f>IFERROR(VLOOKUP(B22,'Spesifikasi Bahan'!$A$2:$F$10074,6,FALSE),"")</f>
        <v>gram</v>
      </c>
      <c r="G22" s="106">
        <f>IFERROR(VLOOKUP(B22,'Spesifikasi Bahan'!$A$2:$G$10074,7,FALSE),"")</f>
        <v>100</v>
      </c>
      <c r="H22" s="107">
        <f t="shared" si="1"/>
        <v>250</v>
      </c>
      <c r="I22" s="107">
        <f>SUMIF('Form Responses Incoming'!$C$2:$C$10131,B22,'Form Responses Incoming'!$D$2:D10148)</f>
        <v>250</v>
      </c>
      <c r="J22" s="107">
        <f>SUMIF('Form Responses Usage'!$C$2:$C$11115,B22,'Form Responses Usage'!$D$2:$D$11115)</f>
        <v>0</v>
      </c>
      <c r="K22" s="108" t="str">
        <f t="shared" si="2"/>
        <v>OK</v>
      </c>
      <c r="L22" s="109" t="str">
        <f>IFERROR(VLOOKUP(B22,'Spesifikasi Bahan'!$A$2:$D$10074,4,FALSE),"")</f>
        <v>1.05941.0250 - Supelco</v>
      </c>
      <c r="M22" s="110"/>
      <c r="N22" s="104" t="e">
        <v>#N/A</v>
      </c>
    </row>
    <row r="23">
      <c r="A23" s="104">
        <v>19.0</v>
      </c>
      <c r="B23" s="105" t="s">
        <v>135</v>
      </c>
      <c r="C23" s="106" t="str">
        <f>IFERROR(VLOOKUP(B23,'Spesifikasi Bahan'!$A$2:$B$10074,2,FALSE),"")</f>
        <v>Potasium Hidrogen Ptalat</v>
      </c>
      <c r="D23" s="106" t="str">
        <f>IFERROR(VLOOKUP(B23,'Spesifikasi Bahan'!$A$2:$C$10074,3,FALSE),"")</f>
        <v>C₈H₅KO₄</v>
      </c>
      <c r="E23" s="106">
        <f>IFERROR(VLOOKUP(B23,'Spesifikasi Bahan'!$A$2:$E$10074,5,FALSE),"")</f>
        <v>250</v>
      </c>
      <c r="F23" s="106" t="str">
        <f>IFERROR(VLOOKUP(B23,'Spesifikasi Bahan'!$A$2:$F$10074,6,FALSE),"")</f>
        <v>gram</v>
      </c>
      <c r="G23" s="106">
        <f>IFERROR(VLOOKUP(B23,'Spesifikasi Bahan'!$A$2:$G$10074,7,FALSE),"")</f>
        <v>100</v>
      </c>
      <c r="H23" s="107">
        <f t="shared" si="1"/>
        <v>246.9221</v>
      </c>
      <c r="I23" s="107">
        <f>SUMIF('Form Responses Incoming'!$C$2:$C$10131,B23,'Form Responses Incoming'!$D$2:D10149)</f>
        <v>250</v>
      </c>
      <c r="J23" s="107">
        <f>SUMIF('Form Responses Usage'!$C$2:$C$11115,B23,'Form Responses Usage'!$D$2:$D$11115)</f>
        <v>3.0779</v>
      </c>
      <c r="K23" s="108" t="str">
        <f t="shared" si="2"/>
        <v>OK</v>
      </c>
      <c r="L23" s="109" t="str">
        <f>IFERROR(VLOOKUP(B23,'Spesifikasi Bahan'!$A$2:$D$10074,4,FALSE),"")</f>
        <v>1.04874.0250 - Supelco</v>
      </c>
      <c r="M23" s="110"/>
      <c r="N23" s="104" t="e">
        <v>#N/A</v>
      </c>
    </row>
    <row r="24">
      <c r="A24" s="104">
        <v>20.0</v>
      </c>
      <c r="B24" s="105" t="s">
        <v>142</v>
      </c>
      <c r="C24" s="106" t="str">
        <f>IFERROR(VLOOKUP(B24,'Spesifikasi Bahan'!$A$2:$B$10074,2,FALSE),"")</f>
        <v>Potasium Nitrat</v>
      </c>
      <c r="D24" s="106" t="str">
        <f>IFERROR(VLOOKUP(B24,'Spesifikasi Bahan'!$A$2:$C$10074,3,FALSE),"")</f>
        <v>KNO₃</v>
      </c>
      <c r="E24" s="106">
        <f>IFERROR(VLOOKUP(B24,'Spesifikasi Bahan'!$A$2:$E$10074,5,FALSE),"")</f>
        <v>500</v>
      </c>
      <c r="F24" s="106" t="str">
        <f>IFERROR(VLOOKUP(B24,'Spesifikasi Bahan'!$A$2:$F$10074,6,FALSE),"")</f>
        <v>gram</v>
      </c>
      <c r="G24" s="106">
        <f>IFERROR(VLOOKUP(B24,'Spesifikasi Bahan'!$A$2:$G$10074,7,FALSE),"")</f>
        <v>250</v>
      </c>
      <c r="H24" s="107">
        <f t="shared" si="1"/>
        <v>493.0777</v>
      </c>
      <c r="I24" s="107">
        <f>SUMIF('Form Responses Incoming'!$C$2:$C$10131,B24,'Form Responses Incoming'!$D$2:D10150)</f>
        <v>500</v>
      </c>
      <c r="J24" s="107">
        <f>SUMIF('Form Responses Usage'!$C$2:$C$11115,B24,'Form Responses Usage'!$D$2:$D$11115)</f>
        <v>6.9223</v>
      </c>
      <c r="K24" s="108" t="str">
        <f t="shared" si="2"/>
        <v>OK</v>
      </c>
      <c r="L24" s="109" t="str">
        <f>IFERROR(VLOOKUP(B24,'Spesifikasi Bahan'!$A$2:$D$10074,4,FALSE),"")</f>
        <v>1.05063.0500 - Supelco</v>
      </c>
      <c r="M24" s="110"/>
      <c r="N24" s="104" t="e">
        <v>#N/A</v>
      </c>
    </row>
    <row r="25">
      <c r="A25" s="104">
        <v>21.0</v>
      </c>
      <c r="B25" s="105" t="s">
        <v>149</v>
      </c>
      <c r="C25" s="106" t="str">
        <f>IFERROR(VLOOKUP(B25,'Spesifikasi Bahan'!$A$2:$B$10074,2,FALSE),"")</f>
        <v>Di-Sodium Hidrogen Posfat Dodekahidrat</v>
      </c>
      <c r="D25" s="106" t="str">
        <f>IFERROR(VLOOKUP(B25,'Spesifikasi Bahan'!$A$2:$C$10074,3,FALSE),"")</f>
        <v>Na₂HPO₄.12H₂O</v>
      </c>
      <c r="E25" s="106">
        <f>IFERROR(VLOOKUP(B25,'Spesifikasi Bahan'!$A$2:$E$10074,5,FALSE),"")</f>
        <v>500</v>
      </c>
      <c r="F25" s="106" t="str">
        <f>IFERROR(VLOOKUP(B25,'Spesifikasi Bahan'!$A$2:$F$10074,6,FALSE),"")</f>
        <v>gram</v>
      </c>
      <c r="G25" s="106">
        <f>IFERROR(VLOOKUP(B25,'Spesifikasi Bahan'!$A$2:$G$10074,7,FALSE),"")</f>
        <v>200</v>
      </c>
      <c r="H25" s="107">
        <f t="shared" si="1"/>
        <v>416.0895</v>
      </c>
      <c r="I25" s="107">
        <f>SUMIF('Form Responses Incoming'!$C$2:$C$10131,B25,'Form Responses Incoming'!$D$2:D10151)</f>
        <v>500</v>
      </c>
      <c r="J25" s="107">
        <f>SUMIF('Form Responses Usage'!$C$2:$C$11115,B25,'Form Responses Usage'!$D$2:$D$11115)</f>
        <v>83.9105</v>
      </c>
      <c r="K25" s="108" t="str">
        <f t="shared" si="2"/>
        <v>OK</v>
      </c>
      <c r="L25" s="109" t="str">
        <f>IFERROR(VLOOKUP(B25,'Spesifikasi Bahan'!$A$2:$D$10074,4,FALSE),"")</f>
        <v>1.06579.0500 - Supelco</v>
      </c>
      <c r="M25" s="110"/>
      <c r="N25" s="104" t="e">
        <v>#N/A</v>
      </c>
    </row>
    <row r="26">
      <c r="A26" s="104">
        <v>22.0</v>
      </c>
      <c r="B26" s="105" t="s">
        <v>155</v>
      </c>
      <c r="C26" s="106" t="str">
        <f>IFERROR(VLOOKUP(B26,'Spesifikasi Bahan'!$A$2:$B$10074,2,FALSE),"")</f>
        <v>Sodium Hidroksida</v>
      </c>
      <c r="D26" s="106" t="str">
        <f>IFERROR(VLOOKUP(B26,'Spesifikasi Bahan'!$A$2:$C$10074,3,FALSE),"")</f>
        <v>NaOH</v>
      </c>
      <c r="E26" s="106">
        <f>IFERROR(VLOOKUP(B26,'Spesifikasi Bahan'!$A$2:$E$10074,5,FALSE),"")</f>
        <v>500</v>
      </c>
      <c r="F26" s="106" t="str">
        <f>IFERROR(VLOOKUP(B26,'Spesifikasi Bahan'!$A$2:$F$10074,6,FALSE),"")</f>
        <v>gram</v>
      </c>
      <c r="G26" s="106">
        <f>IFERROR(VLOOKUP(B26,'Spesifikasi Bahan'!$A$2:$G$10074,7,FALSE),"")</f>
        <v>250</v>
      </c>
      <c r="H26" s="107">
        <f t="shared" si="1"/>
        <v>1048.1895</v>
      </c>
      <c r="I26" s="107">
        <f>SUMIF('Form Responses Incoming'!$C$2:$C$10131,B26,'Form Responses Incoming'!$D$2:D10152)</f>
        <v>1500</v>
      </c>
      <c r="J26" s="107">
        <f>SUMIF('Form Responses Usage'!$C$2:$C$11115,B26,'Form Responses Usage'!$D$2:$D$11115)</f>
        <v>451.8105</v>
      </c>
      <c r="K26" s="108" t="str">
        <f t="shared" si="2"/>
        <v>OK</v>
      </c>
      <c r="L26" s="109" t="str">
        <f>IFERROR(VLOOKUP(B26,'Spesifikasi Bahan'!$A$2:$D$10074,4,FALSE),"")</f>
        <v>1.06498.0500 - Supelco/ 605K6006 - Kanto Chemical</v>
      </c>
      <c r="M26" s="110"/>
      <c r="N26" s="104" t="e">
        <v>#N/A</v>
      </c>
    </row>
    <row r="27">
      <c r="A27" s="104">
        <v>23.0</v>
      </c>
      <c r="B27" s="105" t="s">
        <v>163</v>
      </c>
      <c r="C27" s="106" t="str">
        <f>IFERROR(VLOOKUP(B27,'Spesifikasi Bahan'!$A$2:$B$10074,2,FALSE),"")</f>
        <v>Sodium Dihidrogen Posfat Monohidrat</v>
      </c>
      <c r="D27" s="106" t="str">
        <f>IFERROR(VLOOKUP(B27,'Spesifikasi Bahan'!$A$2:$C$10074,3,FALSE),"")</f>
        <v>NaH₂PO₄.H₂O</v>
      </c>
      <c r="E27" s="106">
        <f>IFERROR(VLOOKUP(B27,'Spesifikasi Bahan'!$A$2:$E$10074,5,FALSE),"")</f>
        <v>1000</v>
      </c>
      <c r="F27" s="106" t="str">
        <f>IFERROR(VLOOKUP(B27,'Spesifikasi Bahan'!$A$2:$F$10074,6,FALSE),"")</f>
        <v>gram</v>
      </c>
      <c r="G27" s="106">
        <f>IFERROR(VLOOKUP(B27,'Spesifikasi Bahan'!$A$2:$G$10074,7,FALSE),"")</f>
        <v>500</v>
      </c>
      <c r="H27" s="107">
        <f t="shared" si="1"/>
        <v>832.4822</v>
      </c>
      <c r="I27" s="107">
        <f>SUMIF('Form Responses Incoming'!$C$2:$C$10131,B27,'Form Responses Incoming'!$D$2:D10153)</f>
        <v>1000</v>
      </c>
      <c r="J27" s="107">
        <f>SUMIF('Form Responses Usage'!$C$2:$C$11115,B27,'Form Responses Usage'!$D$2:$D$11115)</f>
        <v>167.5178</v>
      </c>
      <c r="K27" s="108" t="str">
        <f t="shared" si="2"/>
        <v>OK</v>
      </c>
      <c r="L27" s="109" t="str">
        <f>IFERROR(VLOOKUP(B27,'Spesifikasi Bahan'!$A$2:$D$10074,4,FALSE),"")</f>
        <v>1.06346.1000 - Supelco</v>
      </c>
      <c r="M27" s="110"/>
      <c r="N27" s="104" t="e">
        <v>#N/A</v>
      </c>
    </row>
    <row r="28">
      <c r="A28" s="104">
        <v>24.0</v>
      </c>
      <c r="B28" s="105" t="s">
        <v>170</v>
      </c>
      <c r="C28" s="112" t="str">
        <f>IFERROR(VLOOKUP(B28,'Spesifikasi Bahan'!$A$2:$B$10074,2,FALSE),"")</f>
        <v>Phenol</v>
      </c>
      <c r="D28" s="106" t="str">
        <f>IFERROR(VLOOKUP(B28,'Spesifikasi Bahan'!$A$2:$C$10074,3,FALSE),"")</f>
        <v>C₆H₅OH</v>
      </c>
      <c r="E28" s="106">
        <f>IFERROR(VLOOKUP(B28,'Spesifikasi Bahan'!$A$2:$E$10074,5,FALSE),"")</f>
        <v>250</v>
      </c>
      <c r="F28" s="106" t="str">
        <f>IFERROR(VLOOKUP(B28,'Spesifikasi Bahan'!$A$2:$F$10074,6,FALSE),"")</f>
        <v>gram</v>
      </c>
      <c r="G28" s="106">
        <f>IFERROR(VLOOKUP(B28,'Spesifikasi Bahan'!$A$2:$G$10074,7,FALSE),"")</f>
        <v>100</v>
      </c>
      <c r="H28" s="107">
        <f t="shared" si="1"/>
        <v>325.2</v>
      </c>
      <c r="I28" s="107">
        <f>SUMIF('Form Responses Incoming'!$C$2:$C$10131,B28,'Form Responses Incoming'!$D$2:D10154)</f>
        <v>750</v>
      </c>
      <c r="J28" s="107">
        <f>SUMIF('Form Responses Usage'!$C$2:$C$11115,B28,'Form Responses Usage'!$D$2:$D$11115)</f>
        <v>424.8</v>
      </c>
      <c r="K28" s="108" t="str">
        <f t="shared" si="2"/>
        <v>OK</v>
      </c>
      <c r="L28" s="109" t="str">
        <f>IFERROR(VLOOKUP(B28,'Spesifikasi Bahan'!$A$2:$D$10074,4,FALSE),"")</f>
        <v>1.00206.1000 - Supelco</v>
      </c>
      <c r="M28" s="110"/>
      <c r="N28" s="104" t="e">
        <v>#N/A</v>
      </c>
    </row>
    <row r="29">
      <c r="A29" s="104">
        <v>25.0</v>
      </c>
      <c r="B29" s="105" t="s">
        <v>177</v>
      </c>
      <c r="C29" s="106" t="str">
        <f>IFERROR(VLOOKUP(B29,'Spesifikasi Bahan'!$A$2:$B$10074,2,FALSE),"")</f>
        <v>Barium Klorida Dihidrat</v>
      </c>
      <c r="D29" s="106" t="str">
        <f>IFERROR(VLOOKUP(B29,'Spesifikasi Bahan'!$A$2:$C$10074,3,FALSE),"")</f>
        <v>BaCl₂.2 H₂O</v>
      </c>
      <c r="E29" s="106">
        <f>IFERROR(VLOOKUP(B29,'Spesifikasi Bahan'!$A$2:$E$10074,5,FALSE),"")</f>
        <v>1000</v>
      </c>
      <c r="F29" s="106" t="str">
        <f>IFERROR(VLOOKUP(B29,'Spesifikasi Bahan'!$A$2:$F$10074,6,FALSE),"")</f>
        <v>gram</v>
      </c>
      <c r="G29" s="106">
        <f>IFERROR(VLOOKUP(B29,'Spesifikasi Bahan'!$A$2:$G$10074,7,FALSE),"")</f>
        <v>100</v>
      </c>
      <c r="H29" s="107">
        <f t="shared" si="1"/>
        <v>813.4</v>
      </c>
      <c r="I29" s="107">
        <f>SUMIF('Form Responses Incoming'!$C$2:$C$10131,B29,'Form Responses Incoming'!$D$2:D10155)</f>
        <v>1000</v>
      </c>
      <c r="J29" s="107">
        <f>SUMIF('Form Responses Usage'!$C$2:$C$11115,B29,'Form Responses Usage'!$D$2:$D$11115)</f>
        <v>186.6</v>
      </c>
      <c r="K29" s="108" t="str">
        <f t="shared" si="2"/>
        <v>OK</v>
      </c>
      <c r="L29" s="109" t="str">
        <f>IFERROR(VLOOKUP(B29,'Spesifikasi Bahan'!$A$2:$D$10074,4,FALSE),"")</f>
        <v>1.01719.1000 - Supelco</v>
      </c>
      <c r="M29" s="110"/>
      <c r="N29" s="104" t="e">
        <v>#N/A</v>
      </c>
    </row>
    <row r="30">
      <c r="A30" s="104">
        <v>26.0</v>
      </c>
      <c r="B30" s="105" t="s">
        <v>184</v>
      </c>
      <c r="C30" s="106" t="str">
        <f>IFERROR(VLOOKUP(B30,'Spesifikasi Bahan'!$A$2:$B$10074,2,FALSE),"")</f>
        <v>Amonium klorida</v>
      </c>
      <c r="D30" s="106" t="str">
        <f>IFERROR(VLOOKUP(B30,'Spesifikasi Bahan'!$A$2:$C$10074,3,FALSE),"")</f>
        <v>NH4Cl</v>
      </c>
      <c r="E30" s="106">
        <f>IFERROR(VLOOKUP(B30,'Spesifikasi Bahan'!$A$2:$E$10074,5,FALSE),"")</f>
        <v>500</v>
      </c>
      <c r="F30" s="106" t="str">
        <f>IFERROR(VLOOKUP(B30,'Spesifikasi Bahan'!$A$2:$F$10074,6,FALSE),"")</f>
        <v>gram</v>
      </c>
      <c r="G30" s="106">
        <f>IFERROR(VLOOKUP(B30,'Spesifikasi Bahan'!$A$2:$G$10074,7,FALSE),"")</f>
        <v>250</v>
      </c>
      <c r="H30" s="107">
        <f t="shared" si="1"/>
        <v>533.97</v>
      </c>
      <c r="I30" s="107">
        <f>SUMIF('Form Responses Incoming'!$C$2:$C$10131,B30,'Form Responses Incoming'!$D$2:D10156)</f>
        <v>1000</v>
      </c>
      <c r="J30" s="107">
        <f>SUMIF('Form Responses Usage'!$C$2:$C$11115,B30,'Form Responses Usage'!$D$2:$D$11115)</f>
        <v>466.03</v>
      </c>
      <c r="K30" s="108" t="str">
        <f t="shared" si="2"/>
        <v>OK</v>
      </c>
      <c r="L30" s="109" t="str">
        <f>IFERROR(VLOOKUP(B30,'Spesifikasi Bahan'!$A$2:$D$10074,4,FALSE),"")</f>
        <v>1.01145.0500 - Supelco</v>
      </c>
      <c r="M30" s="110"/>
      <c r="N30" s="104" t="e">
        <v>#N/A</v>
      </c>
    </row>
    <row r="31">
      <c r="A31" s="104">
        <v>27.0</v>
      </c>
      <c r="B31" s="105" t="s">
        <v>191</v>
      </c>
      <c r="C31" s="106" t="str">
        <f>IFERROR(VLOOKUP(B31,'Spesifikasi Bahan'!$A$2:$B$10074,2,FALSE),"")</f>
        <v>4-Aminoantipyrine 99% Extra Pure</v>
      </c>
      <c r="D31" s="106" t="str">
        <f>IFERROR(VLOOKUP(B31,'Spesifikasi Bahan'!$A$2:$C$10074,3,FALSE),"")</f>
        <v>C11H13N3O</v>
      </c>
      <c r="E31" s="106">
        <f>IFERROR(VLOOKUP(B31,'Spesifikasi Bahan'!$A$2:$E$10074,5,FALSE),"")</f>
        <v>25</v>
      </c>
      <c r="F31" s="106" t="str">
        <f>IFERROR(VLOOKUP(B31,'Spesifikasi Bahan'!$A$2:$F$10074,6,FALSE),"")</f>
        <v>gram</v>
      </c>
      <c r="G31" s="106">
        <f>IFERROR(VLOOKUP(B31,'Spesifikasi Bahan'!$A$2:$G$10074,7,FALSE),"")</f>
        <v>10</v>
      </c>
      <c r="H31" s="107">
        <f t="shared" si="1"/>
        <v>12.5936</v>
      </c>
      <c r="I31" s="107">
        <f>SUMIF('Form Responses Incoming'!$C$2:$C$10131,B31,'Form Responses Incoming'!$D$2:D10157)</f>
        <v>25</v>
      </c>
      <c r="J31" s="107">
        <f>SUMIF('Form Responses Usage'!$C$2:$C$11115,B31,'Form Responses Usage'!$D$2:$D$11115)</f>
        <v>12.4064</v>
      </c>
      <c r="K31" s="108" t="str">
        <f t="shared" si="2"/>
        <v>OK</v>
      </c>
      <c r="L31" s="109" t="str">
        <f>IFERROR(VLOOKUP(B31,'Spesifikasi Bahan'!$A$2:$D$10074,4,FALSE),"")</f>
        <v>1030 - LobaChemie</v>
      </c>
      <c r="M31" s="110"/>
      <c r="N31" s="104" t="e">
        <v>#N/A</v>
      </c>
    </row>
    <row r="32">
      <c r="A32" s="104">
        <v>28.0</v>
      </c>
      <c r="B32" s="105" t="s">
        <v>198</v>
      </c>
      <c r="C32" s="106" t="str">
        <f>IFERROR(VLOOKUP(B32,'Spesifikasi Bahan'!$A$2:$B$10074,2,FALSE),"")</f>
        <v>Sodium Azide AR</v>
      </c>
      <c r="D32" s="106" t="str">
        <f>IFERROR(VLOOKUP(B32,'Spesifikasi Bahan'!$A$2:$C$10074,3,FALSE),"")</f>
        <v>NaN3</v>
      </c>
      <c r="E32" s="106">
        <f>IFERROR(VLOOKUP(B32,'Spesifikasi Bahan'!$A$2:$E$10074,5,FALSE),"")</f>
        <v>100</v>
      </c>
      <c r="F32" s="106" t="str">
        <f>IFERROR(VLOOKUP(B32,'Spesifikasi Bahan'!$A$2:$F$10074,6,FALSE),"")</f>
        <v>gram</v>
      </c>
      <c r="G32" s="106">
        <f>IFERROR(VLOOKUP(B32,'Spesifikasi Bahan'!$A$2:$G$10074,7,FALSE),"")</f>
        <v>50</v>
      </c>
      <c r="H32" s="107">
        <f t="shared" si="1"/>
        <v>100</v>
      </c>
      <c r="I32" s="107">
        <f>SUMIF('Form Responses Incoming'!$C$2:$C$10131,B32,'Form Responses Incoming'!$D$2:D10158)</f>
        <v>100</v>
      </c>
      <c r="J32" s="107">
        <f>SUMIF('Form Responses Usage'!$C$2:$C$11115,B32,'Form Responses Usage'!$D$2:$D$11115)</f>
        <v>0</v>
      </c>
      <c r="K32" s="108" t="str">
        <f t="shared" si="2"/>
        <v>OK</v>
      </c>
      <c r="L32" s="109" t="str">
        <f>IFERROR(VLOOKUP(B32,'Spesifikasi Bahan'!$A$2:$D$10074,4,FALSE),"")</f>
        <v>5782 - LobaChemie</v>
      </c>
      <c r="M32" s="110"/>
      <c r="N32" s="104" t="e">
        <v>#N/A</v>
      </c>
    </row>
    <row r="33">
      <c r="A33" s="104">
        <v>29.0</v>
      </c>
      <c r="B33" s="105" t="s">
        <v>204</v>
      </c>
      <c r="C33" s="106" t="str">
        <f>IFERROR(VLOOKUP(B33,'Spesifikasi Bahan'!$A$2:$B$10074,2,FALSE),"")</f>
        <v>Ammonium Molydate Tetrahydrate</v>
      </c>
      <c r="D33" s="106" t="str">
        <f>IFERROR(VLOOKUP(B33,'Spesifikasi Bahan'!$A$2:$C$10074,3,FALSE),"")</f>
        <v>(NH4)6Mo7O24.4H2O</v>
      </c>
      <c r="E33" s="106">
        <f>IFERROR(VLOOKUP(B33,'Spesifikasi Bahan'!$A$2:$E$10074,5,FALSE),"")</f>
        <v>100</v>
      </c>
      <c r="F33" s="106" t="str">
        <f>IFERROR(VLOOKUP(B33,'Spesifikasi Bahan'!$A$2:$F$10074,6,FALSE),"")</f>
        <v>gram</v>
      </c>
      <c r="G33" s="106">
        <f>IFERROR(VLOOKUP(B33,'Spesifikasi Bahan'!$A$2:$G$10074,7,FALSE),"")</f>
        <v>50</v>
      </c>
      <c r="H33" s="107">
        <f t="shared" si="1"/>
        <v>95.1</v>
      </c>
      <c r="I33" s="107">
        <f>SUMIF('Form Responses Incoming'!$C$2:$C$10131,B33,'Form Responses Incoming'!$D$2:D10159)</f>
        <v>100</v>
      </c>
      <c r="J33" s="107">
        <f>SUMIF('Form Responses Usage'!$C$2:$C$11115,B33,'Form Responses Usage'!$D$2:$D$11115)</f>
        <v>4.9</v>
      </c>
      <c r="K33" s="108" t="str">
        <f t="shared" si="2"/>
        <v>OK</v>
      </c>
      <c r="L33" s="109" t="str">
        <f>IFERROR(VLOOKUP(B33,'Spesifikasi Bahan'!$A$2:$D$10074,4,FALSE),"")</f>
        <v>1271 - LobaChemie</v>
      </c>
      <c r="M33" s="110"/>
      <c r="N33" s="104" t="e">
        <v>#N/A</v>
      </c>
    </row>
    <row r="34">
      <c r="A34" s="104">
        <v>30.0</v>
      </c>
      <c r="B34" s="105" t="s">
        <v>211</v>
      </c>
      <c r="C34" s="106" t="str">
        <f>IFERROR(VLOOKUP(B34,'Spesifikasi Bahan'!$A$2:$B$10074,2,FALSE),"")</f>
        <v>Pararosaniline Chloride Extra Pure</v>
      </c>
      <c r="D34" s="106" t="str">
        <f>IFERROR(VLOOKUP(B34,'Spesifikasi Bahan'!$A$2:$C$10074,3,FALSE),"")</f>
        <v>C19H18ClN3</v>
      </c>
      <c r="E34" s="106">
        <f>IFERROR(VLOOKUP(B34,'Spesifikasi Bahan'!$A$2:$E$10074,5,FALSE),"")</f>
        <v>25</v>
      </c>
      <c r="F34" s="106" t="str">
        <f>IFERROR(VLOOKUP(B34,'Spesifikasi Bahan'!$A$2:$F$10074,6,FALSE),"")</f>
        <v>gram</v>
      </c>
      <c r="G34" s="106">
        <f>IFERROR(VLOOKUP(B34,'Spesifikasi Bahan'!$A$2:$G$10074,7,FALSE),"")</f>
        <v>10</v>
      </c>
      <c r="H34" s="107">
        <f t="shared" si="1"/>
        <v>24.0983</v>
      </c>
      <c r="I34" s="107">
        <f>SUMIF('Form Responses Incoming'!$C$2:$C$10131,B34,'Form Responses Incoming'!$D$2:D10160)</f>
        <v>25</v>
      </c>
      <c r="J34" s="107">
        <f>SUMIF('Form Responses Usage'!$C$2:$C$11115,B34,'Form Responses Usage'!$D$2:$D$11115)</f>
        <v>0.9017</v>
      </c>
      <c r="K34" s="108" t="str">
        <f t="shared" si="2"/>
        <v>OK</v>
      </c>
      <c r="L34" s="109" t="str">
        <f>IFERROR(VLOOKUP(B34,'Spesifikasi Bahan'!$A$2:$D$10074,4,FALSE),"")</f>
        <v>5129B - LobaChemie</v>
      </c>
      <c r="M34" s="110"/>
      <c r="N34" s="104" t="e">
        <v>#N/A</v>
      </c>
    </row>
    <row r="35">
      <c r="A35" s="104">
        <v>31.0</v>
      </c>
      <c r="B35" s="105" t="s">
        <v>218</v>
      </c>
      <c r="C35" s="106" t="str">
        <f>IFERROR(VLOOKUP(B35,'Spesifikasi Bahan'!$A$2:$B$10074,2,FALSE),"")</f>
        <v>Zirconium Oxychloride Octahydrate</v>
      </c>
      <c r="D35" s="106" t="str">
        <f>IFERROR(VLOOKUP(B35,'Spesifikasi Bahan'!$A$2:$C$10074,3,FALSE),"")</f>
        <v>ZrOCl2.8H2O</v>
      </c>
      <c r="E35" s="106">
        <f>IFERROR(VLOOKUP(B35,'Spesifikasi Bahan'!$A$2:$E$10074,5,FALSE),"")</f>
        <v>100</v>
      </c>
      <c r="F35" s="106" t="str">
        <f>IFERROR(VLOOKUP(B35,'Spesifikasi Bahan'!$A$2:$F$10074,6,FALSE),"")</f>
        <v>gram</v>
      </c>
      <c r="G35" s="106">
        <f>IFERROR(VLOOKUP(B35,'Spesifikasi Bahan'!$A$2:$G$10074,7,FALSE),"")</f>
        <v>50</v>
      </c>
      <c r="H35" s="107">
        <f t="shared" si="1"/>
        <v>99.601</v>
      </c>
      <c r="I35" s="107">
        <f>SUMIF('Form Responses Incoming'!$C$2:$C$10131,B35,'Form Responses Incoming'!$D$2:D10161)</f>
        <v>100</v>
      </c>
      <c r="J35" s="107">
        <f>SUMIF('Form Responses Usage'!$C$2:$C$11115,B35,'Form Responses Usage'!$D$2:$D$11115)</f>
        <v>0.399</v>
      </c>
      <c r="K35" s="108" t="str">
        <f t="shared" si="2"/>
        <v>OK</v>
      </c>
      <c r="L35" s="109" t="str">
        <f>IFERROR(VLOOKUP(B35,'Spesifikasi Bahan'!$A$2:$D$10074,4,FALSE),"")</f>
        <v>6569 - LobaChemie</v>
      </c>
      <c r="M35" s="110"/>
      <c r="N35" s="104" t="e">
        <v>#N/A</v>
      </c>
    </row>
    <row r="36">
      <c r="A36" s="104">
        <v>32.0</v>
      </c>
      <c r="B36" s="105" t="s">
        <v>225</v>
      </c>
      <c r="C36" s="106" t="str">
        <f>IFERROR(VLOOKUP(B36,'Spesifikasi Bahan'!$A$2:$B$10074,2,FALSE),"")</f>
        <v>Sodium Nitroprusside Dihydrate</v>
      </c>
      <c r="D36" s="106" t="str">
        <f>IFERROR(VLOOKUP(B36,'Spesifikasi Bahan'!$A$2:$C$10074,3,FALSE),"")</f>
        <v>Na2[Fe(CN)5NO].2H2O</v>
      </c>
      <c r="E36" s="106">
        <f>IFERROR(VLOOKUP(B36,'Spesifikasi Bahan'!$A$2:$E$10074,5,FALSE),"")</f>
        <v>100</v>
      </c>
      <c r="F36" s="106" t="str">
        <f>IFERROR(VLOOKUP(B36,'Spesifikasi Bahan'!$A$2:$F$10074,6,FALSE),"")</f>
        <v>gram</v>
      </c>
      <c r="G36" s="106">
        <f>IFERROR(VLOOKUP(B36,'Spesifikasi Bahan'!$A$2:$G$10074,7,FALSE),"")</f>
        <v>50</v>
      </c>
      <c r="H36" s="107">
        <f t="shared" si="1"/>
        <v>93.47</v>
      </c>
      <c r="I36" s="107">
        <f>SUMIF('Form Responses Incoming'!$C$2:$C$10131,B36,'Form Responses Incoming'!$D$2:D10162)</f>
        <v>100</v>
      </c>
      <c r="J36" s="107">
        <f>SUMIF('Form Responses Usage'!$C$2:$C$11115,B36,'Form Responses Usage'!$D$2:$D$11115)</f>
        <v>6.53</v>
      </c>
      <c r="K36" s="108" t="str">
        <f t="shared" si="2"/>
        <v>OK</v>
      </c>
      <c r="L36" s="109" t="str">
        <f>IFERROR(VLOOKUP(B36,'Spesifikasi Bahan'!$A$2:$D$10074,4,FALSE),"")</f>
        <v>5958 - LobaChemie</v>
      </c>
      <c r="M36" s="110"/>
      <c r="N36" s="104" t="e">
        <v>#N/A</v>
      </c>
    </row>
    <row r="37">
      <c r="A37" s="104">
        <v>33.0</v>
      </c>
      <c r="B37" s="105" t="s">
        <v>232</v>
      </c>
      <c r="C37" s="106" t="str">
        <f>IFERROR(VLOOKUP(B37,'Spesifikasi Bahan'!$A$2:$B$10074,2,FALSE),"")</f>
        <v>Sodium Sulphite Anhydrous</v>
      </c>
      <c r="D37" s="106" t="str">
        <f>IFERROR(VLOOKUP(B37,'Spesifikasi Bahan'!$A$2:$C$10074,3,FALSE),"")</f>
        <v>Na2SO3</v>
      </c>
      <c r="E37" s="106">
        <f>IFERROR(VLOOKUP(B37,'Spesifikasi Bahan'!$A$2:$E$10074,5,FALSE),"")</f>
        <v>500</v>
      </c>
      <c r="F37" s="106" t="str">
        <f>IFERROR(VLOOKUP(B37,'Spesifikasi Bahan'!$A$2:$F$10074,6,FALSE),"")</f>
        <v>gram</v>
      </c>
      <c r="G37" s="106">
        <f>IFERROR(VLOOKUP(B37,'Spesifikasi Bahan'!$A$2:$G$10074,7,FALSE),"")</f>
        <v>250</v>
      </c>
      <c r="H37" s="107">
        <f t="shared" si="1"/>
        <v>485.6592</v>
      </c>
      <c r="I37" s="107">
        <f>SUMIF('Form Responses Incoming'!$C$2:$C$10131,B37,'Form Responses Incoming'!$D$2:D10163)</f>
        <v>500</v>
      </c>
      <c r="J37" s="107">
        <f>SUMIF('Form Responses Usage'!$C$2:$C$11115,B37,'Form Responses Usage'!$D$2:$D$11115)</f>
        <v>14.3408</v>
      </c>
      <c r="K37" s="108" t="str">
        <f t="shared" si="2"/>
        <v>OK</v>
      </c>
      <c r="L37" s="109" t="str">
        <f>IFERROR(VLOOKUP(B37,'Spesifikasi Bahan'!$A$2:$D$10074,4,FALSE),"")</f>
        <v>6024 - LobaChemie</v>
      </c>
      <c r="M37" s="110"/>
      <c r="N37" s="104" t="e">
        <v>#N/A</v>
      </c>
    </row>
    <row r="38">
      <c r="A38" s="104">
        <v>34.0</v>
      </c>
      <c r="B38" s="105" t="s">
        <v>239</v>
      </c>
      <c r="C38" s="106" t="str">
        <f>IFERROR(VLOOKUP(B38,'Spesifikasi Bahan'!$A$2:$B$10074,2,FALSE),"")</f>
        <v>Tri-Sodium Citrate Dihydrate</v>
      </c>
      <c r="D38" s="106" t="str">
        <f>IFERROR(VLOOKUP(B38,'Spesifikasi Bahan'!$A$2:$C$10074,3,FALSE),"")</f>
        <v>C6H5Na3O7.2H2O</v>
      </c>
      <c r="E38" s="106">
        <f>IFERROR(VLOOKUP(B38,'Spesifikasi Bahan'!$A$2:$E$10074,5,FALSE),"")</f>
        <v>500</v>
      </c>
      <c r="F38" s="106" t="str">
        <f>IFERROR(VLOOKUP(B38,'Spesifikasi Bahan'!$A$2:$F$10074,6,FALSE),"")</f>
        <v>gram</v>
      </c>
      <c r="G38" s="106">
        <f>IFERROR(VLOOKUP(B38,'Spesifikasi Bahan'!$A$2:$G$10074,7,FALSE),"")</f>
        <v>250</v>
      </c>
      <c r="H38" s="107">
        <f t="shared" si="1"/>
        <v>514</v>
      </c>
      <c r="I38" s="107">
        <f>SUMIF('Form Responses Incoming'!$C$2:$C$10131,B38,'Form Responses Incoming'!$D$2:D10164)</f>
        <v>1000</v>
      </c>
      <c r="J38" s="107">
        <f>SUMIF('Form Responses Usage'!$C$2:$C$11115,B38,'Form Responses Usage'!$D$2:$D$11115)</f>
        <v>486</v>
      </c>
      <c r="K38" s="108" t="str">
        <f t="shared" si="2"/>
        <v>OK</v>
      </c>
      <c r="L38" s="109" t="str">
        <f>IFERROR(VLOOKUP(B38,'Spesifikasi Bahan'!$A$2:$D$10074,4,FALSE),"")</f>
        <v>5835 - LobaChemie</v>
      </c>
      <c r="M38" s="111"/>
      <c r="N38" s="104" t="e">
        <v>#N/A</v>
      </c>
    </row>
    <row r="39">
      <c r="A39" s="104">
        <v>35.0</v>
      </c>
      <c r="B39" s="105" t="s">
        <v>246</v>
      </c>
      <c r="C39" s="106" t="str">
        <f>IFERROR(VLOOKUP(B39,'Spesifikasi Bahan'!$A$2:$B$10074,2,FALSE),"")</f>
        <v>Sodium Acetate Anhydrous</v>
      </c>
      <c r="D39" s="106" t="str">
        <f>IFERROR(VLOOKUP(B39,'Spesifikasi Bahan'!$A$2:$C$10074,3,FALSE),"")</f>
        <v>CH3.COONa</v>
      </c>
      <c r="E39" s="106">
        <f>IFERROR(VLOOKUP(B39,'Spesifikasi Bahan'!$A$2:$E$10074,5,FALSE),"")</f>
        <v>500</v>
      </c>
      <c r="F39" s="106" t="str">
        <f>IFERROR(VLOOKUP(B39,'Spesifikasi Bahan'!$A$2:$F$10074,6,FALSE),"")</f>
        <v>gram</v>
      </c>
      <c r="G39" s="106">
        <f>IFERROR(VLOOKUP(B39,'Spesifikasi Bahan'!$A$2:$G$10074,7,FALSE),"")</f>
        <v>250</v>
      </c>
      <c r="H39" s="107">
        <f t="shared" si="1"/>
        <v>371.3216</v>
      </c>
      <c r="I39" s="107">
        <f>SUMIF('Form Responses Incoming'!$C$2:$C$10131,B39,'Form Responses Incoming'!$D$2:D10165)</f>
        <v>500</v>
      </c>
      <c r="J39" s="107">
        <f>SUMIF('Form Responses Usage'!$C$2:$C$11115,B39,'Form Responses Usage'!$D$2:$D$11115)</f>
        <v>128.6784</v>
      </c>
      <c r="K39" s="108" t="str">
        <f t="shared" si="2"/>
        <v>OK</v>
      </c>
      <c r="L39" s="109" t="str">
        <f>IFERROR(VLOOKUP(B39,'Spesifikasi Bahan'!$A$2:$D$10074,4,FALSE),"")</f>
        <v>5755 - LobaChemie</v>
      </c>
      <c r="M39" s="110"/>
      <c r="N39" s="104" t="e">
        <v>#N/A</v>
      </c>
    </row>
    <row r="40">
      <c r="A40" s="104">
        <v>36.0</v>
      </c>
      <c r="B40" s="105" t="s">
        <v>253</v>
      </c>
      <c r="C40" s="106" t="str">
        <f>IFERROR(VLOOKUP(B40,'Spesifikasi Bahan'!$A$2:$B$10074,2,FALSE),"")</f>
        <v>Magnesium Sulphate Heptahydrate</v>
      </c>
      <c r="D40" s="106" t="str">
        <f>IFERROR(VLOOKUP(B40,'Spesifikasi Bahan'!$A$2:$C$10074,3,FALSE),"")</f>
        <v>MgSO4.7H2O</v>
      </c>
      <c r="E40" s="106">
        <f>IFERROR(VLOOKUP(B40,'Spesifikasi Bahan'!$A$2:$E$10074,5,FALSE),"")</f>
        <v>500</v>
      </c>
      <c r="F40" s="106" t="str">
        <f>IFERROR(VLOOKUP(B40,'Spesifikasi Bahan'!$A$2:$F$10074,6,FALSE),"")</f>
        <v>gram</v>
      </c>
      <c r="G40" s="106">
        <f>IFERROR(VLOOKUP(B40,'Spesifikasi Bahan'!$A$2:$G$10074,7,FALSE),"")</f>
        <v>250</v>
      </c>
      <c r="H40" s="107">
        <f t="shared" si="1"/>
        <v>460</v>
      </c>
      <c r="I40" s="107">
        <f>SUMIF('Form Responses Incoming'!$C$2:$C$10131,B40,'Form Responses Incoming'!$D$2:D10166)</f>
        <v>500</v>
      </c>
      <c r="J40" s="107">
        <f>SUMIF('Form Responses Usage'!$C$2:$C$11115,B40,'Form Responses Usage'!$D$2:$D$11115)</f>
        <v>40</v>
      </c>
      <c r="K40" s="108" t="str">
        <f t="shared" si="2"/>
        <v>OK</v>
      </c>
      <c r="L40" s="109" t="str">
        <f>IFERROR(VLOOKUP(B40,'Spesifikasi Bahan'!$A$2:$D$10074,4,FALSE),"")</f>
        <v>4479 - LobaChemie</v>
      </c>
      <c r="M40" s="110"/>
      <c r="N40" s="104" t="e">
        <v>#N/A</v>
      </c>
    </row>
    <row r="41">
      <c r="A41" s="104">
        <v>37.0</v>
      </c>
      <c r="B41" s="105" t="s">
        <v>260</v>
      </c>
      <c r="C41" s="106" t="str">
        <f>IFERROR(VLOOKUP(B41,'Spesifikasi Bahan'!$A$2:$B$10074,2,FALSE),"")</f>
        <v>Sodium Nitrite</v>
      </c>
      <c r="D41" s="106" t="str">
        <f>IFERROR(VLOOKUP(B41,'Spesifikasi Bahan'!$A$2:$C$10074,3,FALSE),"")</f>
        <v>NaNO2</v>
      </c>
      <c r="E41" s="106">
        <f>IFERROR(VLOOKUP(B41,'Spesifikasi Bahan'!$A$2:$E$10074,5,FALSE),"")</f>
        <v>500</v>
      </c>
      <c r="F41" s="106" t="str">
        <f>IFERROR(VLOOKUP(B41,'Spesifikasi Bahan'!$A$2:$F$10074,6,FALSE),"")</f>
        <v>gram</v>
      </c>
      <c r="G41" s="106">
        <f>IFERROR(VLOOKUP(B41,'Spesifikasi Bahan'!$A$2:$G$10074,7,FALSE),"")</f>
        <v>250</v>
      </c>
      <c r="H41" s="107">
        <f t="shared" si="1"/>
        <v>499.1924</v>
      </c>
      <c r="I41" s="107">
        <f>SUMIF('Form Responses Incoming'!$C$2:$C$10131,B41,'Form Responses Incoming'!$D$2:D10167)</f>
        <v>500</v>
      </c>
      <c r="J41" s="107">
        <f>SUMIF('Form Responses Usage'!$C$2:$C$11115,B41,'Form Responses Usage'!$D$2:$D$11115)</f>
        <v>0.8076</v>
      </c>
      <c r="K41" s="108" t="str">
        <f t="shared" si="2"/>
        <v>OK</v>
      </c>
      <c r="L41" s="109" t="str">
        <f>IFERROR(VLOOKUP(B41,'Spesifikasi Bahan'!$A$2:$D$10074,4,FALSE),"")</f>
        <v>5954 - LobaChemie</v>
      </c>
      <c r="M41" s="110"/>
      <c r="N41" s="104" t="e">
        <v>#N/A</v>
      </c>
    </row>
    <row r="42">
      <c r="A42" s="104">
        <v>38.0</v>
      </c>
      <c r="B42" s="105" t="s">
        <v>267</v>
      </c>
      <c r="C42" s="106" t="str">
        <f>IFERROR(VLOOKUP(B42,'Spesifikasi Bahan'!$A$2:$B$10074,2,FALSE),"")</f>
        <v>Sulphamic Acid</v>
      </c>
      <c r="D42" s="106" t="str">
        <f>IFERROR(VLOOKUP(B42,'Spesifikasi Bahan'!$A$2:$C$10074,3,FALSE),"")</f>
        <v>H2NSO3H</v>
      </c>
      <c r="E42" s="106">
        <f>IFERROR(VLOOKUP(B42,'Spesifikasi Bahan'!$A$2:$E$10074,5,FALSE),"")</f>
        <v>500</v>
      </c>
      <c r="F42" s="106" t="str">
        <f>IFERROR(VLOOKUP(B42,'Spesifikasi Bahan'!$A$2:$F$10074,6,FALSE),"")</f>
        <v>gram</v>
      </c>
      <c r="G42" s="106">
        <f>IFERROR(VLOOKUP(B42,'Spesifikasi Bahan'!$A$2:$G$10074,7,FALSE),"")</f>
        <v>250</v>
      </c>
      <c r="H42" s="107">
        <f t="shared" si="1"/>
        <v>498.49978</v>
      </c>
      <c r="I42" s="107">
        <f>SUMIF('Form Responses Incoming'!$C$2:$C$10131,B42,'Form Responses Incoming'!$D$2:D10168)</f>
        <v>500</v>
      </c>
      <c r="J42" s="107">
        <f>SUMIF('Form Responses Usage'!$C$2:$C$11115,B42,'Form Responses Usage'!$D$2:$D$11115)</f>
        <v>1.50022</v>
      </c>
      <c r="K42" s="108" t="str">
        <f t="shared" si="2"/>
        <v>OK</v>
      </c>
      <c r="L42" s="109" t="str">
        <f>IFERROR(VLOOKUP(B42,'Spesifikasi Bahan'!$A$2:$D$10074,4,FALSE),"")</f>
        <v>6170 - LobaChemie</v>
      </c>
      <c r="M42" s="110"/>
      <c r="N42" s="104" t="e">
        <v>#N/A</v>
      </c>
    </row>
    <row r="43">
      <c r="A43" s="104">
        <v>39.0</v>
      </c>
      <c r="B43" s="105" t="s">
        <v>274</v>
      </c>
      <c r="C43" s="106" t="str">
        <f>IFERROR(VLOOKUP(B43,'Spesifikasi Bahan'!$A$2:$B$10074,2,FALSE),"")</f>
        <v>Potassium Ferricyanide</v>
      </c>
      <c r="D43" s="106" t="str">
        <f>IFERROR(VLOOKUP(B43,'Spesifikasi Bahan'!$A$2:$C$10074,3,FALSE),"")</f>
        <v>K3(Fe(CN)6)</v>
      </c>
      <c r="E43" s="106">
        <f>IFERROR(VLOOKUP(B43,'Spesifikasi Bahan'!$A$2:$E$10074,5,FALSE),"")</f>
        <v>500</v>
      </c>
      <c r="F43" s="106" t="str">
        <f>IFERROR(VLOOKUP(B43,'Spesifikasi Bahan'!$A$2:$F$10074,6,FALSE),"")</f>
        <v>gram</v>
      </c>
      <c r="G43" s="106">
        <f>IFERROR(VLOOKUP(B43,'Spesifikasi Bahan'!$A$2:$G$10074,7,FALSE),"")</f>
        <v>250</v>
      </c>
      <c r="H43" s="107">
        <f t="shared" si="1"/>
        <v>458.3977</v>
      </c>
      <c r="I43" s="107">
        <f>SUMIF('Form Responses Incoming'!$C$2:$C$10131,B43,'Form Responses Incoming'!$D$2:D10169)</f>
        <v>500</v>
      </c>
      <c r="J43" s="107">
        <f>SUMIF('Form Responses Usage'!$C$2:$C$11115,B43,'Form Responses Usage'!$D$2:$D$11115)</f>
        <v>41.6023</v>
      </c>
      <c r="K43" s="108" t="str">
        <f t="shared" si="2"/>
        <v>OK</v>
      </c>
      <c r="L43" s="109" t="str">
        <f>IFERROR(VLOOKUP(B43,'Spesifikasi Bahan'!$A$2:$D$10074,4,FALSE),"")</f>
        <v>5360 - LobaChemie</v>
      </c>
      <c r="M43" s="110"/>
      <c r="N43" s="104" t="e">
        <v>#N/A</v>
      </c>
    </row>
    <row r="44">
      <c r="A44" s="104">
        <v>40.0</v>
      </c>
      <c r="B44" s="105" t="s">
        <v>280</v>
      </c>
      <c r="C44" s="106" t="str">
        <f>IFERROR(VLOOKUP(B44,'Spesifikasi Bahan'!$A$2:$B$10074,2,FALSE),"")</f>
        <v>Phenolphthalein (Indicator)</v>
      </c>
      <c r="D44" s="106" t="str">
        <f>IFERROR(VLOOKUP(B44,'Spesifikasi Bahan'!$A$2:$C$10074,3,FALSE),"")</f>
        <v>C10H14O4</v>
      </c>
      <c r="E44" s="106">
        <f>IFERROR(VLOOKUP(B44,'Spesifikasi Bahan'!$A$2:$E$10074,5,FALSE),"")</f>
        <v>25</v>
      </c>
      <c r="F44" s="106" t="str">
        <f>IFERROR(VLOOKUP(B44,'Spesifikasi Bahan'!$A$2:$F$10074,6,FALSE),"")</f>
        <v>gram</v>
      </c>
      <c r="G44" s="106">
        <f>IFERROR(VLOOKUP(B44,'Spesifikasi Bahan'!$A$2:$G$10074,7,FALSE),"")</f>
        <v>5</v>
      </c>
      <c r="H44" s="107">
        <f t="shared" si="1"/>
        <v>24.5</v>
      </c>
      <c r="I44" s="107">
        <f>SUMIF('Form Responses Incoming'!$C$2:$C$10131,B44,'Form Responses Incoming'!$D$2:D10170)</f>
        <v>25</v>
      </c>
      <c r="J44" s="107">
        <f>SUMIF('Form Responses Usage'!$C$2:$C$11115,B44,'Form Responses Usage'!$D$2:$D$11115)</f>
        <v>0.5</v>
      </c>
      <c r="K44" s="108" t="str">
        <f t="shared" si="2"/>
        <v>OK</v>
      </c>
      <c r="L44" s="109" t="str">
        <f>IFERROR(VLOOKUP(B44,'Spesifikasi Bahan'!$A$2:$D$10074,4,FALSE),"")</f>
        <v>A2046 - SmartLab</v>
      </c>
      <c r="M44" s="110"/>
      <c r="N44" s="104" t="e">
        <v>#N/A</v>
      </c>
    </row>
    <row r="45">
      <c r="A45" s="104">
        <v>41.0</v>
      </c>
      <c r="B45" s="105" t="s">
        <v>287</v>
      </c>
      <c r="C45" s="106" t="str">
        <f>IFERROR(VLOOKUP(B45,'Spesifikasi Bahan'!$A$2:$B$10074,2,FALSE),"")</f>
        <v>Mercury (II) Sulphate</v>
      </c>
      <c r="D45" s="106" t="str">
        <f>IFERROR(VLOOKUP(B45,'Spesifikasi Bahan'!$A$2:$C$10074,3,FALSE),"")</f>
        <v>HgSO4</v>
      </c>
      <c r="E45" s="106">
        <f>IFERROR(VLOOKUP(B45,'Spesifikasi Bahan'!$A$2:$E$10074,5,FALSE),"")</f>
        <v>250</v>
      </c>
      <c r="F45" s="106" t="str">
        <f>IFERROR(VLOOKUP(B45,'Spesifikasi Bahan'!$A$2:$F$10074,6,FALSE),"")</f>
        <v>gram</v>
      </c>
      <c r="G45" s="106">
        <f>IFERROR(VLOOKUP(B45,'Spesifikasi Bahan'!$A$2:$G$10074,7,FALSE),"")</f>
        <v>100</v>
      </c>
      <c r="H45" s="107">
        <f t="shared" si="1"/>
        <v>216.7</v>
      </c>
      <c r="I45" s="107">
        <f>SUMIF('Form Responses Incoming'!$C$2:$C$10131,B45,'Form Responses Incoming'!$D$2:D10171)</f>
        <v>250</v>
      </c>
      <c r="J45" s="107">
        <f>SUMIF('Form Responses Usage'!$C$2:$C$11115,B45,'Form Responses Usage'!$D$2:$D$11115)</f>
        <v>33.3</v>
      </c>
      <c r="K45" s="108" t="str">
        <f t="shared" si="2"/>
        <v>OK</v>
      </c>
      <c r="L45" s="109" t="str">
        <f>IFERROR(VLOOKUP(B45,'Spesifikasi Bahan'!$A$2:$D$10074,4,FALSE),"")</f>
        <v>A2073 - SmartLab</v>
      </c>
      <c r="M45" s="110"/>
      <c r="N45" s="104" t="e">
        <v>#N/A</v>
      </c>
    </row>
    <row r="46">
      <c r="A46" s="104">
        <v>42.0</v>
      </c>
      <c r="B46" s="105" t="s">
        <v>294</v>
      </c>
      <c r="C46" s="106" t="str">
        <f>IFERROR(VLOOKUP(B46,'Spesifikasi Bahan'!$A$2:$B$10074,2,FALSE),"")</f>
        <v>Silver Sulphate</v>
      </c>
      <c r="D46" s="106" t="str">
        <f>IFERROR(VLOOKUP(B46,'Spesifikasi Bahan'!$A$2:$C$10074,3,FALSE),"")</f>
        <v>Ag2SO4</v>
      </c>
      <c r="E46" s="106">
        <f>IFERROR(VLOOKUP(B46,'Spesifikasi Bahan'!$A$2:$E$10074,5,FALSE),"")</f>
        <v>100</v>
      </c>
      <c r="F46" s="106" t="str">
        <f>IFERROR(VLOOKUP(B46,'Spesifikasi Bahan'!$A$2:$F$10074,6,FALSE),"")</f>
        <v>gram</v>
      </c>
      <c r="G46" s="106">
        <f>IFERROR(VLOOKUP(B46,'Spesifikasi Bahan'!$A$2:$G$10074,7,FALSE),"")</f>
        <v>25</v>
      </c>
      <c r="H46" s="107">
        <f t="shared" si="1"/>
        <v>79.76</v>
      </c>
      <c r="I46" s="107">
        <f>SUMIF('Form Responses Incoming'!$C$2:$C$10131,B46,'Form Responses Incoming'!$D$2:D10172)</f>
        <v>100</v>
      </c>
      <c r="J46" s="107">
        <f>SUMIF('Form Responses Usage'!$C$2:$C$11115,B46,'Form Responses Usage'!$D$2:$D$11115)</f>
        <v>20.24</v>
      </c>
      <c r="K46" s="108" t="str">
        <f t="shared" si="2"/>
        <v>OK</v>
      </c>
      <c r="L46" s="109" t="str">
        <f>IFERROR(VLOOKUP(B46,'Spesifikasi Bahan'!$A$2:$D$10074,4,FALSE),"")</f>
        <v>A2045 - SmartLab</v>
      </c>
      <c r="M46" s="110"/>
      <c r="N46" s="104" t="e">
        <v>#N/A</v>
      </c>
    </row>
    <row r="47">
      <c r="A47" s="104">
        <v>43.0</v>
      </c>
      <c r="B47" s="105" t="s">
        <v>683</v>
      </c>
      <c r="C47" s="106" t="str">
        <f>IFERROR(VLOOKUP(B47,'Spesifikasi Bahan'!$A$2:$B$10074,2,FALSE),"")</f>
        <v>Cobalt Standard Solution</v>
      </c>
      <c r="D47" s="106" t="str">
        <f>IFERROR(VLOOKUP(B47,'Spesifikasi Bahan'!$A$2:$C$10074,3,FALSE),"")</f>
        <v>Co</v>
      </c>
      <c r="E47" s="106">
        <f>IFERROR(VLOOKUP(B47,'Spesifikasi Bahan'!$A$2:$E$10074,5,FALSE),"")</f>
        <v>100</v>
      </c>
      <c r="F47" s="106" t="str">
        <f>IFERROR(VLOOKUP(B47,'Spesifikasi Bahan'!$A$2:$F$10074,6,FALSE),"")</f>
        <v>mL</v>
      </c>
      <c r="G47" s="106">
        <f>IFERROR(VLOOKUP(B47,'Spesifikasi Bahan'!$A$2:$G$10074,7,FALSE),"")</f>
        <v>10</v>
      </c>
      <c r="H47" s="107">
        <f t="shared" si="1"/>
        <v>89.65</v>
      </c>
      <c r="I47" s="107">
        <f>SUMIF('Form Responses Incoming'!$C$2:$C$10131,B47,'Form Responses Incoming'!$D$2:D10173)</f>
        <v>100</v>
      </c>
      <c r="J47" s="107">
        <f>SUMIF('Form Responses Usage'!$C$2:$C$11115,B47,'Form Responses Usage'!$D$2:$D$11115)</f>
        <v>10.35</v>
      </c>
      <c r="K47" s="108" t="str">
        <f t="shared" si="2"/>
        <v>OK</v>
      </c>
      <c r="L47" s="109" t="str">
        <f>IFERROR(VLOOKUP(B47,'Spesifikasi Bahan'!$A$2:$D$10074,4,FALSE),"")</f>
        <v>1.19785.0100 - Supelco</v>
      </c>
      <c r="M47" s="110"/>
      <c r="N47" s="104" t="e">
        <v>#N/A</v>
      </c>
    </row>
    <row r="48">
      <c r="A48" s="104">
        <v>44.0</v>
      </c>
      <c r="B48" s="105" t="s">
        <v>691</v>
      </c>
      <c r="C48" s="106" t="str">
        <f>IFERROR(VLOOKUP(B48,'Spesifikasi Bahan'!$A$2:$B$10074,2,FALSE),"")</f>
        <v>Molybdenum Standard Solution</v>
      </c>
      <c r="D48" s="106" t="str">
        <f>IFERROR(VLOOKUP(B48,'Spesifikasi Bahan'!$A$2:$C$10074,3,FALSE),"")</f>
        <v>Mo</v>
      </c>
      <c r="E48" s="106">
        <f>IFERROR(VLOOKUP(B48,'Spesifikasi Bahan'!$A$2:$E$10074,5,FALSE),"")</f>
        <v>100</v>
      </c>
      <c r="F48" s="106" t="str">
        <f>IFERROR(VLOOKUP(B48,'Spesifikasi Bahan'!$A$2:$F$10074,6,FALSE),"")</f>
        <v>mL</v>
      </c>
      <c r="G48" s="106">
        <f>IFERROR(VLOOKUP(B48,'Spesifikasi Bahan'!$A$2:$G$10074,7,FALSE),"")</f>
        <v>10</v>
      </c>
      <c r="H48" s="107">
        <f t="shared" si="1"/>
        <v>98</v>
      </c>
      <c r="I48" s="107">
        <f>SUMIF('Form Responses Incoming'!$C$2:$C$10131,B48,'Form Responses Incoming'!$D$2:D10174)</f>
        <v>100</v>
      </c>
      <c r="J48" s="107">
        <f>SUMIF('Form Responses Usage'!$C$2:$C$11115,B48,'Form Responses Usage'!$D$2:$D$11115)</f>
        <v>2</v>
      </c>
      <c r="K48" s="108" t="str">
        <f t="shared" si="2"/>
        <v>OK</v>
      </c>
      <c r="L48" s="109" t="str">
        <f>IFERROR(VLOOKUP(B48,'Spesifikasi Bahan'!$A$2:$D$10074,4,FALSE),"")</f>
        <v>1.70227.0100 - Supelco</v>
      </c>
      <c r="M48" s="110"/>
      <c r="N48" s="104" t="e">
        <v>#N/A</v>
      </c>
    </row>
    <row r="49">
      <c r="A49" s="104">
        <v>45.0</v>
      </c>
      <c r="B49" s="105" t="s">
        <v>697</v>
      </c>
      <c r="C49" s="106" t="str">
        <f>IFERROR(VLOOKUP(B49,'Spesifikasi Bahan'!$A$2:$B$10074,2,FALSE),"")</f>
        <v>Zinc Standard Solution</v>
      </c>
      <c r="D49" s="106" t="str">
        <f>IFERROR(VLOOKUP(B49,'Spesifikasi Bahan'!$A$2:$C$10074,3,FALSE),"")</f>
        <v>Zn</v>
      </c>
      <c r="E49" s="106">
        <f>IFERROR(VLOOKUP(B49,'Spesifikasi Bahan'!$A$2:$E$10074,5,FALSE),"")</f>
        <v>100</v>
      </c>
      <c r="F49" s="106" t="str">
        <f>IFERROR(VLOOKUP(B49,'Spesifikasi Bahan'!$A$2:$F$10074,6,FALSE),"")</f>
        <v>mL</v>
      </c>
      <c r="G49" s="106">
        <f>IFERROR(VLOOKUP(B49,'Spesifikasi Bahan'!$A$2:$G$10074,7,FALSE),"")</f>
        <v>10</v>
      </c>
      <c r="H49" s="107">
        <f t="shared" si="1"/>
        <v>89.65</v>
      </c>
      <c r="I49" s="107">
        <f>SUMIF('Form Responses Incoming'!$C$2:$C$10131,B49,'Form Responses Incoming'!$D$2:D10175)</f>
        <v>100</v>
      </c>
      <c r="J49" s="107">
        <f>SUMIF('Form Responses Usage'!$C$2:$C$11115,B49,'Form Responses Usage'!$D$2:$D$11115)</f>
        <v>10.35</v>
      </c>
      <c r="K49" s="108" t="str">
        <f t="shared" si="2"/>
        <v>OK</v>
      </c>
      <c r="L49" s="109" t="str">
        <f>IFERROR(VLOOKUP(B49,'Spesifikasi Bahan'!$A$2:$D$10074,4,FALSE),"")</f>
        <v>1.19806.0100 - Supelco</v>
      </c>
      <c r="M49" s="110"/>
      <c r="N49" s="104" t="e">
        <v>#N/A</v>
      </c>
    </row>
    <row r="50">
      <c r="A50" s="104">
        <v>46.0</v>
      </c>
      <c r="B50" s="105" t="s">
        <v>703</v>
      </c>
      <c r="C50" s="106" t="str">
        <f>IFERROR(VLOOKUP(B50,'Spesifikasi Bahan'!$A$2:$B$10074,2,FALSE),"")</f>
        <v>Silver Standard Solution</v>
      </c>
      <c r="D50" s="106" t="str">
        <f>IFERROR(VLOOKUP(B50,'Spesifikasi Bahan'!$A$2:$C$10074,3,FALSE),"")</f>
        <v>Ag</v>
      </c>
      <c r="E50" s="106">
        <f>IFERROR(VLOOKUP(B50,'Spesifikasi Bahan'!$A$2:$E$10074,5,FALSE),"")</f>
        <v>100</v>
      </c>
      <c r="F50" s="106" t="str">
        <f>IFERROR(VLOOKUP(B50,'Spesifikasi Bahan'!$A$2:$F$10074,6,FALSE),"")</f>
        <v>mL</v>
      </c>
      <c r="G50" s="106">
        <f>IFERROR(VLOOKUP(B50,'Spesifikasi Bahan'!$A$2:$G$10074,7,FALSE),"")</f>
        <v>10</v>
      </c>
      <c r="H50" s="107">
        <f t="shared" si="1"/>
        <v>93</v>
      </c>
      <c r="I50" s="107">
        <f>SUMIF('Form Responses Incoming'!$C$2:$C$10131,B50,'Form Responses Incoming'!$D$2:D10176)</f>
        <v>100</v>
      </c>
      <c r="J50" s="107">
        <f>SUMIF('Form Responses Usage'!$C$2:$C$11115,B50,'Form Responses Usage'!$D$2:$D$11115)</f>
        <v>7</v>
      </c>
      <c r="K50" s="108" t="str">
        <f t="shared" si="2"/>
        <v>OK</v>
      </c>
      <c r="L50" s="109" t="str">
        <f>IFERROR(VLOOKUP(B50,'Spesifikasi Bahan'!$A$2:$D$10074,4,FALSE),"")</f>
        <v>1.19797.0100 - Supelco</v>
      </c>
      <c r="M50" s="110"/>
      <c r="N50" s="104" t="e">
        <v>#N/A</v>
      </c>
    </row>
    <row r="51">
      <c r="A51" s="104">
        <v>47.0</v>
      </c>
      <c r="B51" s="105" t="s">
        <v>709</v>
      </c>
      <c r="C51" s="106" t="str">
        <f>IFERROR(VLOOKUP(B51,'Spesifikasi Bahan'!$A$2:$B$10074,2,FALSE),"")</f>
        <v>Selenium Standard Solution</v>
      </c>
      <c r="D51" s="106" t="str">
        <f>IFERROR(VLOOKUP(B51,'Spesifikasi Bahan'!$A$2:$C$10074,3,FALSE),"")</f>
        <v>Se</v>
      </c>
      <c r="E51" s="106">
        <f>IFERROR(VLOOKUP(B51,'Spesifikasi Bahan'!$A$2:$E$10074,5,FALSE),"")</f>
        <v>100</v>
      </c>
      <c r="F51" s="106" t="str">
        <f>IFERROR(VLOOKUP(B51,'Spesifikasi Bahan'!$A$2:$F$10074,6,FALSE),"")</f>
        <v>mL</v>
      </c>
      <c r="G51" s="106">
        <f>IFERROR(VLOOKUP(B51,'Spesifikasi Bahan'!$A$2:$G$10074,7,FALSE),"")</f>
        <v>10</v>
      </c>
      <c r="H51" s="107">
        <f t="shared" si="1"/>
        <v>55.5</v>
      </c>
      <c r="I51" s="107">
        <f>SUMIF('Form Responses Incoming'!$C$2:$C$10131,B51,'Form Responses Incoming'!$D$2:D10177)</f>
        <v>100</v>
      </c>
      <c r="J51" s="107">
        <f>SUMIF('Form Responses Usage'!$C$2:$C$11115,B51,'Form Responses Usage'!$D$2:$D$11115)</f>
        <v>44.5</v>
      </c>
      <c r="K51" s="108" t="str">
        <f t="shared" si="2"/>
        <v>OK</v>
      </c>
      <c r="L51" s="109" t="str">
        <f>IFERROR(VLOOKUP(B51,'Spesifikasi Bahan'!$A$2:$D$10074,4,FALSE),"")</f>
        <v>1.19796.0100 - Supelco</v>
      </c>
      <c r="M51" s="110"/>
      <c r="N51" s="104" t="e">
        <v>#N/A</v>
      </c>
    </row>
    <row r="52">
      <c r="A52" s="104">
        <v>48.0</v>
      </c>
      <c r="B52" s="105" t="s">
        <v>715</v>
      </c>
      <c r="C52" s="106" t="str">
        <f>IFERROR(VLOOKUP(B52,'Spesifikasi Bahan'!$A$2:$B$10074,2,FALSE),"")</f>
        <v>Copper Standard Solution</v>
      </c>
      <c r="D52" s="106" t="str">
        <f>IFERROR(VLOOKUP(B52,'Spesifikasi Bahan'!$A$2:$C$10074,3,FALSE),"")</f>
        <v>Cu</v>
      </c>
      <c r="E52" s="106">
        <f>IFERROR(VLOOKUP(B52,'Spesifikasi Bahan'!$A$2:$E$10074,5,FALSE),"")</f>
        <v>100</v>
      </c>
      <c r="F52" s="106" t="str">
        <f>IFERROR(VLOOKUP(B52,'Spesifikasi Bahan'!$A$2:$F$10074,6,FALSE),"")</f>
        <v>mL</v>
      </c>
      <c r="G52" s="106">
        <f>IFERROR(VLOOKUP(B52,'Spesifikasi Bahan'!$A$2:$G$10074,7,FALSE),"")</f>
        <v>10</v>
      </c>
      <c r="H52" s="107">
        <f t="shared" si="1"/>
        <v>89.65</v>
      </c>
      <c r="I52" s="107">
        <f>SUMIF('Form Responses Incoming'!$C$2:$C$10131,B52,'Form Responses Incoming'!$D$2:D10178)</f>
        <v>100</v>
      </c>
      <c r="J52" s="107">
        <f>SUMIF('Form Responses Usage'!$C$2:$C$11115,B52,'Form Responses Usage'!$D$2:$D$11115)</f>
        <v>10.35</v>
      </c>
      <c r="K52" s="108" t="str">
        <f t="shared" si="2"/>
        <v>OK</v>
      </c>
      <c r="L52" s="109" t="str">
        <f>IFERROR(VLOOKUP(B52,'Spesifikasi Bahan'!$A$2:$D$10074,4,FALSE),"")</f>
        <v>1.19786.0100 - Supelco</v>
      </c>
      <c r="M52" s="110"/>
      <c r="N52" s="104" t="e">
        <v>#N/A</v>
      </c>
    </row>
    <row r="53">
      <c r="A53" s="104">
        <v>49.0</v>
      </c>
      <c r="B53" s="105" t="s">
        <v>721</v>
      </c>
      <c r="C53" s="106" t="str">
        <f>IFERROR(VLOOKUP(B53,'Spesifikasi Bahan'!$A$2:$B$10074,2,FALSE),"")</f>
        <v>Sodium Standard Solution</v>
      </c>
      <c r="D53" s="106" t="str">
        <f>IFERROR(VLOOKUP(B53,'Spesifikasi Bahan'!$A$2:$C$10074,3,FALSE),"")</f>
        <v>Na</v>
      </c>
      <c r="E53" s="106">
        <f>IFERROR(VLOOKUP(B53,'Spesifikasi Bahan'!$A$2:$E$10074,5,FALSE),"")</f>
        <v>100</v>
      </c>
      <c r="F53" s="106" t="str">
        <f>IFERROR(VLOOKUP(B53,'Spesifikasi Bahan'!$A$2:$F$10074,6,FALSE),"")</f>
        <v>mL</v>
      </c>
      <c r="G53" s="106">
        <f>IFERROR(VLOOKUP(B53,'Spesifikasi Bahan'!$A$2:$G$10074,7,FALSE),"")</f>
        <v>10</v>
      </c>
      <c r="H53" s="107">
        <f t="shared" si="1"/>
        <v>93</v>
      </c>
      <c r="I53" s="107">
        <f>SUMIF('Form Responses Incoming'!$C$2:$C$10131,B53,'Form Responses Incoming'!$D$2:D10179)</f>
        <v>100</v>
      </c>
      <c r="J53" s="107">
        <f>SUMIF('Form Responses Usage'!$C$2:$C$11115,B53,'Form Responses Usage'!$D$2:$D$11115)</f>
        <v>7</v>
      </c>
      <c r="K53" s="108" t="str">
        <f t="shared" si="2"/>
        <v>OK</v>
      </c>
      <c r="L53" s="109" t="str">
        <f>IFERROR(VLOOKUP(B53,'Spesifikasi Bahan'!$A$2:$D$10074,4,FALSE),"")</f>
        <v>1.70238.0100 - Supelco</v>
      </c>
      <c r="M53" s="110"/>
      <c r="N53" s="104" t="e">
        <v>#N/A</v>
      </c>
    </row>
    <row r="54">
      <c r="A54" s="104">
        <v>50.0</v>
      </c>
      <c r="B54" s="105" t="s">
        <v>727</v>
      </c>
      <c r="C54" s="106" t="str">
        <f>IFERROR(VLOOKUP(B54,'Spesifikasi Bahan'!$A$2:$B$10074,2,FALSE),"")</f>
        <v>Tin Standard Solution</v>
      </c>
      <c r="D54" s="106" t="str">
        <f>IFERROR(VLOOKUP(B54,'Spesifikasi Bahan'!$A$2:$C$10074,3,FALSE),"")</f>
        <v>Sn</v>
      </c>
      <c r="E54" s="106">
        <f>IFERROR(VLOOKUP(B54,'Spesifikasi Bahan'!$A$2:$E$10074,5,FALSE),"")</f>
        <v>100</v>
      </c>
      <c r="F54" s="106" t="str">
        <f>IFERROR(VLOOKUP(B54,'Spesifikasi Bahan'!$A$2:$F$10074,6,FALSE),"")</f>
        <v>mL</v>
      </c>
      <c r="G54" s="106">
        <f>IFERROR(VLOOKUP(B54,'Spesifikasi Bahan'!$A$2:$G$10074,7,FALSE),"")</f>
        <v>10</v>
      </c>
      <c r="H54" s="107">
        <f t="shared" si="1"/>
        <v>90</v>
      </c>
      <c r="I54" s="107">
        <f>SUMIF('Form Responses Incoming'!$C$2:$C$10131,B54,'Form Responses Incoming'!$D$2:D10180)</f>
        <v>100</v>
      </c>
      <c r="J54" s="107">
        <f>SUMIF('Form Responses Usage'!$C$2:$C$11115,B54,'Form Responses Usage'!$D$2:$D$11115)</f>
        <v>10</v>
      </c>
      <c r="K54" s="108" t="str">
        <f t="shared" si="2"/>
        <v>OK</v>
      </c>
      <c r="L54" s="109" t="str">
        <f>IFERROR(VLOOKUP(B54,'Spesifikasi Bahan'!$A$2:$D$10074,4,FALSE),"")</f>
        <v>1.70242.0100 - Supelco</v>
      </c>
      <c r="M54" s="110"/>
      <c r="N54" s="104" t="e">
        <v>#N/A</v>
      </c>
    </row>
    <row r="55">
      <c r="A55" s="104">
        <v>51.0</v>
      </c>
      <c r="B55" s="105" t="s">
        <v>733</v>
      </c>
      <c r="C55" s="106" t="str">
        <f>IFERROR(VLOOKUP(B55,'Spesifikasi Bahan'!$A$2:$B$10074,2,FALSE),"")</f>
        <v>Calcium Standard Solution</v>
      </c>
      <c r="D55" s="106" t="str">
        <f>IFERROR(VLOOKUP(B55,'Spesifikasi Bahan'!$A$2:$C$10074,3,FALSE),"")</f>
        <v>Ca</v>
      </c>
      <c r="E55" s="106">
        <f>IFERROR(VLOOKUP(B55,'Spesifikasi Bahan'!$A$2:$E$10074,5,FALSE),"")</f>
        <v>100</v>
      </c>
      <c r="F55" s="106" t="str">
        <f>IFERROR(VLOOKUP(B55,'Spesifikasi Bahan'!$A$2:$F$10074,6,FALSE),"")</f>
        <v>mL</v>
      </c>
      <c r="G55" s="106">
        <f>IFERROR(VLOOKUP(B55,'Spesifikasi Bahan'!$A$2:$G$10074,7,FALSE),"")</f>
        <v>10</v>
      </c>
      <c r="H55" s="107">
        <f t="shared" si="1"/>
        <v>98</v>
      </c>
      <c r="I55" s="107">
        <f>SUMIF('Form Responses Incoming'!$C$2:$C$10131,B55,'Form Responses Incoming'!$D$2:D10181)</f>
        <v>100</v>
      </c>
      <c r="J55" s="107">
        <f>SUMIF('Form Responses Usage'!$C$2:$C$11115,B55,'Form Responses Usage'!$D$2:$D$11115)</f>
        <v>2</v>
      </c>
      <c r="K55" s="108" t="str">
        <f t="shared" si="2"/>
        <v>OK</v>
      </c>
      <c r="L55" s="109" t="str">
        <f>IFERROR(VLOOKUP(B55,'Spesifikasi Bahan'!$A$2:$D$10074,4,FALSE),"")</f>
        <v>1.19778.0100 - Supelco</v>
      </c>
      <c r="M55" s="110"/>
      <c r="N55" s="104" t="e">
        <v>#N/A</v>
      </c>
    </row>
    <row r="56">
      <c r="A56" s="104">
        <v>52.0</v>
      </c>
      <c r="B56" s="105" t="s">
        <v>739</v>
      </c>
      <c r="C56" s="106" t="str">
        <f>IFERROR(VLOOKUP(B56,'Spesifikasi Bahan'!$A$2:$B$10074,2,FALSE),"")</f>
        <v>Thallium Standard Solution</v>
      </c>
      <c r="D56" s="106" t="str">
        <f>IFERROR(VLOOKUP(B56,'Spesifikasi Bahan'!$A$2:$C$10074,3,FALSE),"")</f>
        <v>Tl</v>
      </c>
      <c r="E56" s="106">
        <f>IFERROR(VLOOKUP(B56,'Spesifikasi Bahan'!$A$2:$E$10074,5,FALSE),"")</f>
        <v>100</v>
      </c>
      <c r="F56" s="106" t="str">
        <f>IFERROR(VLOOKUP(B56,'Spesifikasi Bahan'!$A$2:$F$10074,6,FALSE),"")</f>
        <v>mL</v>
      </c>
      <c r="G56" s="106">
        <f>IFERROR(VLOOKUP(B56,'Spesifikasi Bahan'!$A$2:$G$10074,7,FALSE),"")</f>
        <v>10</v>
      </c>
      <c r="H56" s="107">
        <f t="shared" si="1"/>
        <v>93.5</v>
      </c>
      <c r="I56" s="107">
        <f>SUMIF('Form Responses Incoming'!$C$2:$C$10131,B56,'Form Responses Incoming'!$D$2:D10182)</f>
        <v>100</v>
      </c>
      <c r="J56" s="107">
        <f>SUMIF('Form Responses Usage'!$C$2:$C$11115,B56,'Form Responses Usage'!$D$2:$D$11115)</f>
        <v>6.5</v>
      </c>
      <c r="K56" s="108" t="str">
        <f t="shared" si="2"/>
        <v>OK</v>
      </c>
      <c r="L56" s="109" t="str">
        <f>IFERROR(VLOOKUP(B56,'Spesifikasi Bahan'!$A$2:$D$10074,4,FALSE),"")</f>
        <v>1.19801.0100 - Supelco</v>
      </c>
      <c r="M56" s="110"/>
      <c r="N56" s="104" t="e">
        <v>#N/A</v>
      </c>
    </row>
    <row r="57">
      <c r="A57" s="104">
        <v>53.0</v>
      </c>
      <c r="B57" s="105" t="s">
        <v>745</v>
      </c>
      <c r="C57" s="106" t="str">
        <f>IFERROR(VLOOKUP(B57,'Spesifikasi Bahan'!$A$2:$B$10074,2,FALSE),"")</f>
        <v>Iron Standard Solution</v>
      </c>
      <c r="D57" s="106" t="str">
        <f>IFERROR(VLOOKUP(B57,'Spesifikasi Bahan'!$A$2:$C$10074,3,FALSE),"")</f>
        <v>Fe</v>
      </c>
      <c r="E57" s="106">
        <f>IFERROR(VLOOKUP(B57,'Spesifikasi Bahan'!$A$2:$E$10074,5,FALSE),"")</f>
        <v>100</v>
      </c>
      <c r="F57" s="106" t="str">
        <f>IFERROR(VLOOKUP(B57,'Spesifikasi Bahan'!$A$2:$F$10074,6,FALSE),"")</f>
        <v>mL</v>
      </c>
      <c r="G57" s="106">
        <f>IFERROR(VLOOKUP(B57,'Spesifikasi Bahan'!$A$2:$G$10074,7,FALSE),"")</f>
        <v>10</v>
      </c>
      <c r="H57" s="107">
        <f t="shared" si="1"/>
        <v>74.65</v>
      </c>
      <c r="I57" s="107">
        <f>SUMIF('Form Responses Incoming'!$C$2:$C$10131,B57,'Form Responses Incoming'!$D$2:D10183)</f>
        <v>100</v>
      </c>
      <c r="J57" s="107">
        <f>SUMIF('Form Responses Usage'!$C$2:$C$11115,B57,'Form Responses Usage'!$D$2:$D$11115)</f>
        <v>25.35</v>
      </c>
      <c r="K57" s="108" t="str">
        <f t="shared" si="2"/>
        <v>OK</v>
      </c>
      <c r="L57" s="109" t="str">
        <f>IFERROR(VLOOKUP(B57,'Spesifikasi Bahan'!$A$2:$D$10074,4,FALSE),"")</f>
        <v>1.19781.0100 - Supelco</v>
      </c>
      <c r="M57" s="110"/>
      <c r="N57" s="104" t="e">
        <v>#N/A</v>
      </c>
    </row>
    <row r="58">
      <c r="A58" s="104">
        <v>54.0</v>
      </c>
      <c r="B58" s="105" t="s">
        <v>751</v>
      </c>
      <c r="C58" s="106" t="str">
        <f>IFERROR(VLOOKUP(B58,'Spesifikasi Bahan'!$A$2:$B$10074,2,FALSE),"")</f>
        <v>Mercury Standard Solution</v>
      </c>
      <c r="D58" s="106" t="str">
        <f>IFERROR(VLOOKUP(B58,'Spesifikasi Bahan'!$A$2:$C$10074,3,FALSE),"")</f>
        <v>Hg</v>
      </c>
      <c r="E58" s="106">
        <f>IFERROR(VLOOKUP(B58,'Spesifikasi Bahan'!$A$2:$E$10074,5,FALSE),"")</f>
        <v>100</v>
      </c>
      <c r="F58" s="106" t="str">
        <f>IFERROR(VLOOKUP(B58,'Spesifikasi Bahan'!$A$2:$F$10074,6,FALSE),"")</f>
        <v>mL</v>
      </c>
      <c r="G58" s="106">
        <f>IFERROR(VLOOKUP(B58,'Spesifikasi Bahan'!$A$2:$G$10074,7,FALSE),"")</f>
        <v>10</v>
      </c>
      <c r="H58" s="107">
        <f t="shared" si="1"/>
        <v>51.5</v>
      </c>
      <c r="I58" s="107">
        <f>SUMIF('Form Responses Incoming'!$C$2:$C$10131,B58,'Form Responses Incoming'!$D$2:D10184)</f>
        <v>100</v>
      </c>
      <c r="J58" s="107">
        <f>SUMIF('Form Responses Usage'!$C$2:$C$11115,B58,'Form Responses Usage'!$D$2:$D$11115)</f>
        <v>48.5</v>
      </c>
      <c r="K58" s="108" t="str">
        <f t="shared" si="2"/>
        <v>OK</v>
      </c>
      <c r="L58" s="109" t="str">
        <f>IFERROR(VLOOKUP(B58,'Spesifikasi Bahan'!$A$2:$D$10074,4,FALSE),"")</f>
        <v>1.70226.0100 - Supelco</v>
      </c>
      <c r="M58" s="110"/>
      <c r="N58" s="104" t="e">
        <v>#N/A</v>
      </c>
    </row>
    <row r="59">
      <c r="A59" s="104">
        <v>55.0</v>
      </c>
      <c r="B59" s="105" t="s">
        <v>757</v>
      </c>
      <c r="C59" s="106" t="str">
        <f>IFERROR(VLOOKUP(B59,'Spesifikasi Bahan'!$A$2:$B$10074,2,FALSE),"")</f>
        <v>Nickel Standard Solution</v>
      </c>
      <c r="D59" s="106" t="str">
        <f>IFERROR(VLOOKUP(B59,'Spesifikasi Bahan'!$A$2:$C$10074,3,FALSE),"")</f>
        <v>Ni</v>
      </c>
      <c r="E59" s="106">
        <f>IFERROR(VLOOKUP(B59,'Spesifikasi Bahan'!$A$2:$E$10074,5,FALSE),"")</f>
        <v>100</v>
      </c>
      <c r="F59" s="106" t="str">
        <f>IFERROR(VLOOKUP(B59,'Spesifikasi Bahan'!$A$2:$F$10074,6,FALSE),"")</f>
        <v>mL</v>
      </c>
      <c r="G59" s="106">
        <f>IFERROR(VLOOKUP(B59,'Spesifikasi Bahan'!$A$2:$G$10074,7,FALSE),"")</f>
        <v>10</v>
      </c>
      <c r="H59" s="107">
        <f t="shared" si="1"/>
        <v>79.65</v>
      </c>
      <c r="I59" s="107">
        <f>SUMIF('Form Responses Incoming'!$C$2:$C$10131,B59,'Form Responses Incoming'!$D$2:D10185)</f>
        <v>100</v>
      </c>
      <c r="J59" s="107">
        <f>SUMIF('Form Responses Usage'!$C$2:$C$11115,B59,'Form Responses Usage'!$D$2:$D$11115)</f>
        <v>20.35</v>
      </c>
      <c r="K59" s="108" t="str">
        <f t="shared" si="2"/>
        <v>OK</v>
      </c>
      <c r="L59" s="109" t="str">
        <f>IFERROR(VLOOKUP(B59,'Spesifikasi Bahan'!$A$2:$D$10074,4,FALSE),"")</f>
        <v>1.19792.0100 - Supelco</v>
      </c>
      <c r="M59" s="110"/>
      <c r="N59" s="104" t="e">
        <v>#N/A</v>
      </c>
    </row>
    <row r="60">
      <c r="A60" s="104">
        <v>56.0</v>
      </c>
      <c r="B60" s="105" t="s">
        <v>763</v>
      </c>
      <c r="C60" s="106" t="str">
        <f>IFERROR(VLOOKUP(B60,'Spesifikasi Bahan'!$A$2:$B$10074,2,FALSE),"")</f>
        <v>Chromium Standard Solution</v>
      </c>
      <c r="D60" s="106" t="str">
        <f>IFERROR(VLOOKUP(B60,'Spesifikasi Bahan'!$A$2:$C$10074,3,FALSE),"")</f>
        <v>Cr</v>
      </c>
      <c r="E60" s="106">
        <f>IFERROR(VLOOKUP(B60,'Spesifikasi Bahan'!$A$2:$E$10074,5,FALSE),"")</f>
        <v>100</v>
      </c>
      <c r="F60" s="106" t="str">
        <f>IFERROR(VLOOKUP(B60,'Spesifikasi Bahan'!$A$2:$F$10074,6,FALSE),"")</f>
        <v>mL</v>
      </c>
      <c r="G60" s="106">
        <f>IFERROR(VLOOKUP(B60,'Spesifikasi Bahan'!$A$2:$G$10074,7,FALSE),"")</f>
        <v>10</v>
      </c>
      <c r="H60" s="107">
        <f t="shared" si="1"/>
        <v>185.15</v>
      </c>
      <c r="I60" s="107">
        <f>SUMIF('Form Responses Incoming'!$C$2:$C$10131,B60,'Form Responses Incoming'!$D$2:D10186)</f>
        <v>200</v>
      </c>
      <c r="J60" s="107">
        <f>SUMIF('Form Responses Usage'!$C$2:$C$11115,B60,'Form Responses Usage'!$D$2:$D$11115)</f>
        <v>14.85</v>
      </c>
      <c r="K60" s="108" t="str">
        <f t="shared" si="2"/>
        <v>OK</v>
      </c>
      <c r="L60" s="109" t="str">
        <f>IFERROR(VLOOKUP(B60,'Spesifikasi Bahan'!$A$2:$D$10074,4,FALSE),"")</f>
        <v>1.19779.0100 - Supelco</v>
      </c>
      <c r="M60" s="110"/>
      <c r="N60" s="104" t="e">
        <v>#N/A</v>
      </c>
    </row>
    <row r="61">
      <c r="A61" s="104">
        <v>57.0</v>
      </c>
      <c r="B61" s="105" t="s">
        <v>769</v>
      </c>
      <c r="C61" s="106" t="str">
        <f>IFERROR(VLOOKUP(B61,'Spesifikasi Bahan'!$A$2:$B$10074,2,FALSE),"")</f>
        <v>Manganese Standard Solution</v>
      </c>
      <c r="D61" s="106" t="str">
        <f>IFERROR(VLOOKUP(B61,'Spesifikasi Bahan'!$A$2:$C$10074,3,FALSE),"")</f>
        <v>Mn</v>
      </c>
      <c r="E61" s="106">
        <f>IFERROR(VLOOKUP(B61,'Spesifikasi Bahan'!$A$2:$E$10074,5,FALSE),"")</f>
        <v>100</v>
      </c>
      <c r="F61" s="106" t="str">
        <f>IFERROR(VLOOKUP(B61,'Spesifikasi Bahan'!$A$2:$F$10074,6,FALSE),"")</f>
        <v>mL</v>
      </c>
      <c r="G61" s="106">
        <f>IFERROR(VLOOKUP(B61,'Spesifikasi Bahan'!$A$2:$G$10074,7,FALSE),"")</f>
        <v>10</v>
      </c>
      <c r="H61" s="107">
        <f t="shared" si="1"/>
        <v>113.65</v>
      </c>
      <c r="I61" s="107">
        <f>SUMIF('Form Responses Incoming'!$C$2:$C$10131,B61,'Form Responses Incoming'!$D$2:D10187)</f>
        <v>200</v>
      </c>
      <c r="J61" s="107">
        <f>SUMIF('Form Responses Usage'!$C$2:$C$11115,B61,'Form Responses Usage'!$D$2:$D$11115)</f>
        <v>86.35</v>
      </c>
      <c r="K61" s="108" t="str">
        <f t="shared" si="2"/>
        <v>OK</v>
      </c>
      <c r="L61" s="109" t="str">
        <f>IFERROR(VLOOKUP(B61,'Spesifikasi Bahan'!$A$2:$D$10074,4,FALSE),"")</f>
        <v>1.19789.0100 - Supelco</v>
      </c>
      <c r="M61" s="110"/>
      <c r="N61" s="104" t="e">
        <v>#N/A</v>
      </c>
    </row>
    <row r="62">
      <c r="A62" s="104">
        <v>58.0</v>
      </c>
      <c r="B62" s="105" t="s">
        <v>775</v>
      </c>
      <c r="C62" s="106" t="str">
        <f>IFERROR(VLOOKUP(B62,'Spesifikasi Bahan'!$A$2:$B$10074,2,FALSE),"")</f>
        <v>Barium Standard Solution</v>
      </c>
      <c r="D62" s="106" t="str">
        <f>IFERROR(VLOOKUP(B62,'Spesifikasi Bahan'!$A$2:$C$10074,3,FALSE),"")</f>
        <v>Ba</v>
      </c>
      <c r="E62" s="106">
        <f>IFERROR(VLOOKUP(B62,'Spesifikasi Bahan'!$A$2:$E$10074,5,FALSE),"")</f>
        <v>100</v>
      </c>
      <c r="F62" s="106" t="str">
        <f>IFERROR(VLOOKUP(B62,'Spesifikasi Bahan'!$A$2:$F$10074,6,FALSE),"")</f>
        <v>mL</v>
      </c>
      <c r="G62" s="106">
        <f>IFERROR(VLOOKUP(B62,'Spesifikasi Bahan'!$A$2:$G$10074,7,FALSE),"")</f>
        <v>10</v>
      </c>
      <c r="H62" s="107">
        <f t="shared" si="1"/>
        <v>89.65</v>
      </c>
      <c r="I62" s="107">
        <f>SUMIF('Form Responses Incoming'!$C$2:$C$10131,B62,'Form Responses Incoming'!$D$2:D10188)</f>
        <v>100</v>
      </c>
      <c r="J62" s="107">
        <f>SUMIF('Form Responses Usage'!$C$2:$C$11115,B62,'Form Responses Usage'!$D$2:$D$11115)</f>
        <v>10.35</v>
      </c>
      <c r="K62" s="108" t="str">
        <f t="shared" si="2"/>
        <v>OK</v>
      </c>
      <c r="L62" s="109" t="str">
        <f>IFERROR(VLOOKUP(B62,'Spesifikasi Bahan'!$A$2:$D$10074,4,FALSE),"")</f>
        <v>1.19774.0100 - Supelco</v>
      </c>
      <c r="M62" s="110"/>
      <c r="N62" s="104" t="e">
        <v>#N/A</v>
      </c>
    </row>
    <row r="63">
      <c r="A63" s="104">
        <v>59.0</v>
      </c>
      <c r="B63" s="105" t="s">
        <v>781</v>
      </c>
      <c r="C63" s="106" t="str">
        <f>IFERROR(VLOOKUP(B63,'Spesifikasi Bahan'!$A$2:$B$10074,2,FALSE),"")</f>
        <v>Cadmium Standard Solution</v>
      </c>
      <c r="D63" s="106" t="str">
        <f>IFERROR(VLOOKUP(B63,'Spesifikasi Bahan'!$A$2:$C$10074,3,FALSE),"")</f>
        <v>Cd</v>
      </c>
      <c r="E63" s="106">
        <f>IFERROR(VLOOKUP(B63,'Spesifikasi Bahan'!$A$2:$E$10074,5,FALSE),"")</f>
        <v>500</v>
      </c>
      <c r="F63" s="106" t="str">
        <f>IFERROR(VLOOKUP(B63,'Spesifikasi Bahan'!$A$2:$F$10074,6,FALSE),"")</f>
        <v>mL</v>
      </c>
      <c r="G63" s="106">
        <f>IFERROR(VLOOKUP(B63,'Spesifikasi Bahan'!$A$2:$G$10074,7,FALSE),"")</f>
        <v>10</v>
      </c>
      <c r="H63" s="107">
        <f t="shared" si="1"/>
        <v>489.65</v>
      </c>
      <c r="I63" s="107">
        <f>SUMIF('Form Responses Incoming'!$C$2:$C$10131,B63,'Form Responses Incoming'!$D$2:D10189)</f>
        <v>500</v>
      </c>
      <c r="J63" s="107">
        <f>SUMIF('Form Responses Usage'!$C$2:$C$11115,B63,'Form Responses Usage'!$D$2:$D$11115)</f>
        <v>10.35</v>
      </c>
      <c r="K63" s="108" t="str">
        <f t="shared" si="2"/>
        <v>OK</v>
      </c>
      <c r="L63" s="109" t="str">
        <f>IFERROR(VLOOKUP(B63,'Spesifikasi Bahan'!$A$2:$D$10074,4,FALSE),"")</f>
        <v>1.19777.0500 - Supelco</v>
      </c>
      <c r="M63" s="110"/>
      <c r="N63" s="104" t="e">
        <v>#N/A</v>
      </c>
    </row>
    <row r="64">
      <c r="A64" s="104">
        <v>60.0</v>
      </c>
      <c r="B64" s="105" t="s">
        <v>786</v>
      </c>
      <c r="C64" s="106" t="str">
        <f>IFERROR(VLOOKUP(B64,'Spesifikasi Bahan'!$A$2:$B$10074,2,FALSE),"")</f>
        <v>Magnesium Standard Solution</v>
      </c>
      <c r="D64" s="106" t="str">
        <f>IFERROR(VLOOKUP(B64,'Spesifikasi Bahan'!$A$2:$C$10074,3,FALSE),"")</f>
        <v>Mg</v>
      </c>
      <c r="E64" s="106">
        <f>IFERROR(VLOOKUP(B64,'Spesifikasi Bahan'!$A$2:$E$10074,5,FALSE),"")</f>
        <v>500</v>
      </c>
      <c r="F64" s="106" t="str">
        <f>IFERROR(VLOOKUP(B64,'Spesifikasi Bahan'!$A$2:$F$10074,6,FALSE),"")</f>
        <v>mL</v>
      </c>
      <c r="G64" s="106">
        <f>IFERROR(VLOOKUP(B64,'Spesifikasi Bahan'!$A$2:$G$10074,7,FALSE),"")</f>
        <v>10</v>
      </c>
      <c r="H64" s="107">
        <f t="shared" si="1"/>
        <v>496</v>
      </c>
      <c r="I64" s="107">
        <f>SUMIF('Form Responses Incoming'!$C$2:$C$10131,B64,'Form Responses Incoming'!$D$2:D10190)</f>
        <v>500</v>
      </c>
      <c r="J64" s="107">
        <f>SUMIF('Form Responses Usage'!$C$2:$C$11115,B64,'Form Responses Usage'!$D$2:$D$11115)</f>
        <v>4</v>
      </c>
      <c r="K64" s="108" t="str">
        <f t="shared" si="2"/>
        <v>OK</v>
      </c>
      <c r="L64" s="109" t="str">
        <f>IFERROR(VLOOKUP(B64,'Spesifikasi Bahan'!$A$2:$D$10074,4,FALSE),"")</f>
        <v>1.19788.0500 - Supelco</v>
      </c>
      <c r="M64" s="110"/>
      <c r="N64" s="104" t="e">
        <v>#N/A</v>
      </c>
    </row>
    <row r="65">
      <c r="A65" s="104">
        <v>61.0</v>
      </c>
      <c r="B65" s="105" t="s">
        <v>792</v>
      </c>
      <c r="C65" s="106" t="str">
        <f>IFERROR(VLOOKUP(B65,'Spesifikasi Bahan'!$A$2:$B$10074,2,FALSE),"")</f>
        <v>Antimony Standard Solution</v>
      </c>
      <c r="D65" s="106" t="str">
        <f>IFERROR(VLOOKUP(B65,'Spesifikasi Bahan'!$A$2:$C$10074,3,FALSE),"")</f>
        <v>Sb</v>
      </c>
      <c r="E65" s="106">
        <f>IFERROR(VLOOKUP(B65,'Spesifikasi Bahan'!$A$2:$E$10074,5,FALSE),"")</f>
        <v>500</v>
      </c>
      <c r="F65" s="106" t="str">
        <f>IFERROR(VLOOKUP(B65,'Spesifikasi Bahan'!$A$2:$F$10074,6,FALSE),"")</f>
        <v>mL</v>
      </c>
      <c r="G65" s="106">
        <f>IFERROR(VLOOKUP(B65,'Spesifikasi Bahan'!$A$2:$G$10074,7,FALSE),"")</f>
        <v>10</v>
      </c>
      <c r="H65" s="107">
        <f t="shared" si="1"/>
        <v>469</v>
      </c>
      <c r="I65" s="107">
        <f>SUMIF('Form Responses Incoming'!$C$2:$C$10131,B65,'Form Responses Incoming'!$D$2:D10191)</f>
        <v>500</v>
      </c>
      <c r="J65" s="107">
        <f>SUMIF('Form Responses Usage'!$C$2:$C$11115,B65,'Form Responses Usage'!$D$2:$D$11115)</f>
        <v>31</v>
      </c>
      <c r="K65" s="108" t="str">
        <f t="shared" si="2"/>
        <v>OK</v>
      </c>
      <c r="L65" s="109" t="str">
        <f>IFERROR(VLOOKUP(B65,'Spesifikasi Bahan'!$A$2:$D$10074,4,FALSE),"")</f>
        <v>1.70204.0500 - Supelco</v>
      </c>
      <c r="M65" s="110"/>
      <c r="N65" s="104" t="e">
        <v>#N/A</v>
      </c>
    </row>
    <row r="66">
      <c r="A66" s="104">
        <v>62.0</v>
      </c>
      <c r="B66" s="105" t="s">
        <v>798</v>
      </c>
      <c r="C66" s="106" t="str">
        <f>IFERROR(VLOOKUP(B66,'Spesifikasi Bahan'!$A$2:$B$10074,2,FALSE),"")</f>
        <v>Platinum Cobalt Standard Solution</v>
      </c>
      <c r="D66" s="106" t="str">
        <f>IFERROR(VLOOKUP(B66,'Spesifikasi Bahan'!$A$2:$C$10074,3,FALSE),"")</f>
        <v>Pt-Co</v>
      </c>
      <c r="E66" s="106">
        <f>IFERROR(VLOOKUP(B66,'Spesifikasi Bahan'!$A$2:$E$10074,5,FALSE),"")</f>
        <v>250</v>
      </c>
      <c r="F66" s="106" t="str">
        <f>IFERROR(VLOOKUP(B66,'Spesifikasi Bahan'!$A$2:$F$10074,6,FALSE),"")</f>
        <v>mL</v>
      </c>
      <c r="G66" s="19">
        <v>30.0</v>
      </c>
      <c r="H66" s="107">
        <f t="shared" si="1"/>
        <v>387.5</v>
      </c>
      <c r="I66" s="107">
        <f>SUMIF('Form Responses Incoming'!$C$2:$C$10131,B66,'Form Responses Incoming'!$D$2:D10192)</f>
        <v>750</v>
      </c>
      <c r="J66" s="107">
        <f>SUMIF('Form Responses Usage'!$C$2:$C$11115,B66,'Form Responses Usage'!$D$2:$D$11115)</f>
        <v>362.5</v>
      </c>
      <c r="K66" s="108" t="str">
        <f t="shared" si="2"/>
        <v>OK</v>
      </c>
      <c r="L66" s="109" t="str">
        <f>IFERROR(VLOOKUP(B66,'Spesifikasi Bahan'!$A$2:$D$10074,4,FALSE),"")</f>
        <v>1.00246.0250 - Supelco</v>
      </c>
      <c r="M66" s="110"/>
      <c r="N66" s="104" t="e">
        <v>#N/A</v>
      </c>
    </row>
    <row r="67">
      <c r="A67" s="104">
        <v>63.0</v>
      </c>
      <c r="B67" s="105" t="s">
        <v>804</v>
      </c>
      <c r="C67" s="106" t="str">
        <f>IFERROR(VLOOKUP(B67,'Spesifikasi Bahan'!$A$2:$B$10074,2,FALSE),"")</f>
        <v>Total Suspended Solid Calibration Standard</v>
      </c>
      <c r="D67" s="106" t="str">
        <f>IFERROR(VLOOKUP(B67,'Spesifikasi Bahan'!$A$2:$C$10074,3,FALSE),"")</f>
        <v>TSS</v>
      </c>
      <c r="E67" s="106">
        <f>IFERROR(VLOOKUP(B67,'Spesifikasi Bahan'!$A$2:$E$10074,5,FALSE),"")</f>
        <v>100</v>
      </c>
      <c r="F67" s="106" t="str">
        <f>IFERROR(VLOOKUP(B67,'Spesifikasi Bahan'!$A$2:$F$10074,6,FALSE),"")</f>
        <v>mL</v>
      </c>
      <c r="G67" s="106">
        <f>IFERROR(VLOOKUP(B67,'Spesifikasi Bahan'!$A$2:$G$10074,7,FALSE),"")</f>
        <v>10</v>
      </c>
      <c r="H67" s="107">
        <f t="shared" si="1"/>
        <v>200</v>
      </c>
      <c r="I67" s="107">
        <f>SUMIF('Form Responses Incoming'!$C$2:$C$10131,B67,'Form Responses Incoming'!$D$2:D10193)</f>
        <v>200</v>
      </c>
      <c r="J67" s="107">
        <f>SUMIF('Form Responses Usage'!$C$2:$C$11115,B67,'Form Responses Usage'!$D$2:$D$11115)</f>
        <v>0</v>
      </c>
      <c r="K67" s="108" t="str">
        <f t="shared" si="2"/>
        <v>OK</v>
      </c>
      <c r="L67" s="109" t="str">
        <f>IFERROR(VLOOKUP(B67,'Spesifikasi Bahan'!$A$2:$D$10074,4,FALSE),"")</f>
        <v>TSS100 - SigmaAldrich</v>
      </c>
      <c r="M67" s="110"/>
      <c r="N67" s="104" t="e">
        <v>#N/A</v>
      </c>
    </row>
    <row r="68">
      <c r="A68" s="104">
        <v>64.0</v>
      </c>
      <c r="B68" s="105" t="s">
        <v>811</v>
      </c>
      <c r="C68" s="106" t="str">
        <f>IFERROR(VLOOKUP(B68,'Spesifikasi Bahan'!$A$2:$B$10074,2,FALSE),"")</f>
        <v>Lead Standard Solution</v>
      </c>
      <c r="D68" s="106" t="str">
        <f>IFERROR(VLOOKUP(B68,'Spesifikasi Bahan'!$A$2:$C$10074,3,FALSE),"")</f>
        <v>Pb</v>
      </c>
      <c r="E68" s="106">
        <f>IFERROR(VLOOKUP(B68,'Spesifikasi Bahan'!$A$2:$E$10074,5,FALSE),"")</f>
        <v>500</v>
      </c>
      <c r="F68" s="106" t="str">
        <f>IFERROR(VLOOKUP(B68,'Spesifikasi Bahan'!$A$2:$F$10074,6,FALSE),"")</f>
        <v>mL</v>
      </c>
      <c r="G68" s="106">
        <f>IFERROR(VLOOKUP(B68,'Spesifikasi Bahan'!$A$2:$G$10074,7,FALSE),"")</f>
        <v>10</v>
      </c>
      <c r="H68" s="107">
        <f t="shared" si="1"/>
        <v>474.65</v>
      </c>
      <c r="I68" s="107">
        <f>SUMIF('Form Responses Incoming'!$C$2:$C$10131,B68,'Form Responses Incoming'!$D$2:D10194)</f>
        <v>500</v>
      </c>
      <c r="J68" s="107">
        <f>SUMIF('Form Responses Usage'!$C$2:$C$11115,B68,'Form Responses Usage'!$D$2:$D$11115)</f>
        <v>25.35</v>
      </c>
      <c r="K68" s="108" t="str">
        <f t="shared" si="2"/>
        <v>OK</v>
      </c>
      <c r="L68" s="109" t="str">
        <f>IFERROR(VLOOKUP(B68,'Spesifikasi Bahan'!$A$2:$D$10074,4,FALSE),"")</f>
        <v>1.19776.0500 - Supelco</v>
      </c>
      <c r="M68" s="110"/>
      <c r="N68" s="104" t="e">
        <v>#N/A</v>
      </c>
    </row>
    <row r="69">
      <c r="A69" s="104">
        <v>65.0</v>
      </c>
      <c r="B69" s="105" t="s">
        <v>817</v>
      </c>
      <c r="C69" s="106" t="str">
        <f>IFERROR(VLOOKUP(B69,'Spesifikasi Bahan'!$A$2:$B$10074,2,FALSE),"")</f>
        <v>Nitric Acid</v>
      </c>
      <c r="D69" s="106" t="str">
        <f>IFERROR(VLOOKUP(B69,'Spesifikasi Bahan'!$A$2:$C$10074,3,FALSE),"")</f>
        <v>HNO3</v>
      </c>
      <c r="E69" s="106">
        <f>IFERROR(VLOOKUP(B69,'Spesifikasi Bahan'!$A$2:$E$10074,5,FALSE),"")</f>
        <v>2500</v>
      </c>
      <c r="F69" s="106" t="str">
        <f>IFERROR(VLOOKUP(B69,'Spesifikasi Bahan'!$A$2:$F$10074,6,FALSE),"")</f>
        <v>mL</v>
      </c>
      <c r="G69" s="106">
        <f>IFERROR(VLOOKUP(B69,'Spesifikasi Bahan'!$A$2:$G$10074,7,FALSE),"")</f>
        <v>500</v>
      </c>
      <c r="H69" s="107">
        <f t="shared" si="1"/>
        <v>2705.7</v>
      </c>
      <c r="I69" s="107">
        <f>SUMIF('Form Responses Incoming'!$C$2:$C$10131,B69,'Form Responses Incoming'!$D$2:D10195)</f>
        <v>5000</v>
      </c>
      <c r="J69" s="107">
        <f>SUMIF('Form Responses Usage'!$C$2:$C$11115,B69,'Form Responses Usage'!$D$2:$D$11115)</f>
        <v>2294.3</v>
      </c>
      <c r="K69" s="108" t="str">
        <f t="shared" si="2"/>
        <v>OK</v>
      </c>
      <c r="L69" s="109" t="str">
        <f>IFERROR(VLOOKUP(B69,'Spesifikasi Bahan'!$A$2:$D$10074,4,FALSE),"")</f>
        <v>A - 1063 - SmartLab
AR1133-G2.5L - RCl Labscan</v>
      </c>
      <c r="M69" s="110"/>
      <c r="N69" s="104" t="e">
        <v>#N/A</v>
      </c>
    </row>
    <row r="70">
      <c r="A70" s="104">
        <v>66.0</v>
      </c>
      <c r="B70" s="105" t="s">
        <v>823</v>
      </c>
      <c r="C70" s="106" t="str">
        <f>IFERROR(VLOOKUP(B70,'Spesifikasi Bahan'!$A$2:$B$10074,2,FALSE),"")</f>
        <v>Sulphuric Acid</v>
      </c>
      <c r="D70" s="106" t="str">
        <f>IFERROR(VLOOKUP(B70,'Spesifikasi Bahan'!$A$2:$C$10074,3,FALSE),"")</f>
        <v>H2SO4</v>
      </c>
      <c r="E70" s="106">
        <f>IFERROR(VLOOKUP(B70,'Spesifikasi Bahan'!$A$2:$E$10074,5,FALSE),"")</f>
        <v>2500</v>
      </c>
      <c r="F70" s="106" t="str">
        <f>IFERROR(VLOOKUP(B70,'Spesifikasi Bahan'!$A$2:$F$10074,6,FALSE),"")</f>
        <v>mL</v>
      </c>
      <c r="G70" s="106">
        <f>IFERROR(VLOOKUP(B70,'Spesifikasi Bahan'!$A$2:$G$10074,7,FALSE),"")</f>
        <v>500</v>
      </c>
      <c r="H70" s="107">
        <f t="shared" si="1"/>
        <v>4493.7</v>
      </c>
      <c r="I70" s="107">
        <f>SUMIF('Form Responses Incoming'!$C$2:$C$10131,B70,'Form Responses Incoming'!$D$2:D10196)</f>
        <v>10500</v>
      </c>
      <c r="J70" s="107">
        <f>SUMIF('Form Responses Usage'!$C$2:$C$11115,B70,'Form Responses Usage'!$D$2:$D$11115)</f>
        <v>6006.3</v>
      </c>
      <c r="K70" s="108" t="str">
        <f t="shared" si="2"/>
        <v>OK</v>
      </c>
      <c r="L70" s="109" t="str">
        <f>IFERROR(VLOOKUP(B70,'Spesifikasi Bahan'!$A$2:$D$10074,4,FALSE),"")</f>
        <v>A - 1092 - Smartlab, 0290C-LobaChemie, AR1193-G500ML - RCI Labscan</v>
      </c>
      <c r="M70" s="110"/>
      <c r="N70" s="104" t="e">
        <v>#N/A</v>
      </c>
    </row>
    <row r="71">
      <c r="A71" s="104">
        <v>67.0</v>
      </c>
      <c r="B71" s="105" t="s">
        <v>831</v>
      </c>
      <c r="C71" s="106" t="str">
        <f>IFERROR(VLOOKUP(B71,'Spesifikasi Bahan'!$A$2:$B$10074,2,FALSE),"")</f>
        <v>Hydrochloric Acid</v>
      </c>
      <c r="D71" s="106" t="str">
        <f>IFERROR(VLOOKUP(B71,'Spesifikasi Bahan'!$A$2:$C$10074,3,FALSE),"")</f>
        <v>HCl </v>
      </c>
      <c r="E71" s="106">
        <f>IFERROR(VLOOKUP(B71,'Spesifikasi Bahan'!$A$2:$E$10074,5,FALSE),"")</f>
        <v>2500</v>
      </c>
      <c r="F71" s="106" t="str">
        <f>IFERROR(VLOOKUP(B71,'Spesifikasi Bahan'!$A$2:$F$10074,6,FALSE),"")</f>
        <v>mL</v>
      </c>
      <c r="G71" s="106">
        <f>IFERROR(VLOOKUP(B71,'Spesifikasi Bahan'!$A$2:$G$10074,7,FALSE),"")</f>
        <v>100</v>
      </c>
      <c r="H71" s="107">
        <f t="shared" si="1"/>
        <v>4472.4</v>
      </c>
      <c r="I71" s="107">
        <f>SUMIF('Form Responses Incoming'!$C$2:$C$10131,B71,'Form Responses Incoming'!$D$2:D10197)</f>
        <v>10000</v>
      </c>
      <c r="J71" s="107">
        <f>SUMIF('Form Responses Usage'!$C$2:$C$11115,B71,'Form Responses Usage'!$D$2:$D$11115)</f>
        <v>5527.6</v>
      </c>
      <c r="K71" s="108" t="str">
        <f t="shared" si="2"/>
        <v>OK</v>
      </c>
      <c r="L71" s="109" t="str">
        <f>IFERROR(VLOOKUP(B71,'Spesifikasi Bahan'!$A$2:$D$10074,4,FALSE),"")</f>
        <v>A - 1050 - Smartlab
AR1107-G2.5L - RCl Labscan</v>
      </c>
      <c r="M71" s="110"/>
      <c r="N71" s="104" t="e">
        <v>#N/A</v>
      </c>
    </row>
    <row r="72">
      <c r="A72" s="104">
        <v>68.0</v>
      </c>
      <c r="B72" s="105" t="s">
        <v>837</v>
      </c>
      <c r="C72" s="106" t="str">
        <f>IFERROR(VLOOKUP(B72,'Spesifikasi Bahan'!$A$2:$B$10074,2,FALSE),"")</f>
        <v>Aceton</v>
      </c>
      <c r="D72" s="106" t="str">
        <f>IFERROR(VLOOKUP(B72,'Spesifikasi Bahan'!$A$2:$C$10074,3,FALSE),"")</f>
        <v>(CH3)2CO</v>
      </c>
      <c r="E72" s="106">
        <f>IFERROR(VLOOKUP(B72,'Spesifikasi Bahan'!$A$2:$E$10074,5,FALSE),"")</f>
        <v>4000</v>
      </c>
      <c r="F72" s="106" t="str">
        <f>IFERROR(VLOOKUP(B72,'Spesifikasi Bahan'!$A$2:$F$10074,6,FALSE),"")</f>
        <v>mL</v>
      </c>
      <c r="G72" s="106">
        <f>IFERROR(VLOOKUP(B72,'Spesifikasi Bahan'!$A$2:$G$10074,7,FALSE),"")</f>
        <v>500</v>
      </c>
      <c r="H72" s="107">
        <f t="shared" si="1"/>
        <v>3675</v>
      </c>
      <c r="I72" s="107">
        <f>SUMIF('Form Responses Incoming'!$C$2:$C$10131,B72,'Form Responses Incoming'!$D$2:D10198)</f>
        <v>8000</v>
      </c>
      <c r="J72" s="107">
        <f>SUMIF('Form Responses Usage'!$C$2:$C$11115,B72,'Form Responses Usage'!$D$2:$D$11115)</f>
        <v>4325</v>
      </c>
      <c r="K72" s="108" t="str">
        <f t="shared" si="2"/>
        <v>OK</v>
      </c>
      <c r="L72" s="109" t="str">
        <f>IFERROR(VLOOKUP(B72,'Spesifikasi Bahan'!$A$2:$D$10074,4,FALSE),"")</f>
        <v>A - 1005 - SmartLab</v>
      </c>
      <c r="M72" s="110"/>
      <c r="N72" s="104" t="e">
        <v>#N/A</v>
      </c>
    </row>
    <row r="73">
      <c r="A73" s="104">
        <v>69.0</v>
      </c>
      <c r="B73" s="105" t="s">
        <v>844</v>
      </c>
      <c r="C73" s="106" t="str">
        <f>IFERROR(VLOOKUP(B73,'Spesifikasi Bahan'!$A$2:$B$10074,2,FALSE),"")</f>
        <v>n-Hexane</v>
      </c>
      <c r="D73" s="106" t="str">
        <f>IFERROR(VLOOKUP(B73,'Spesifikasi Bahan'!$A$2:$C$10074,3,FALSE),"")</f>
        <v>C6H14</v>
      </c>
      <c r="E73" s="106">
        <f>IFERROR(VLOOKUP(B73,'Spesifikasi Bahan'!$A$2:$E$10074,5,FALSE),"")</f>
        <v>4000</v>
      </c>
      <c r="F73" s="106" t="str">
        <f>IFERROR(VLOOKUP(B73,'Spesifikasi Bahan'!$A$2:$F$10074,6,FALSE),"")</f>
        <v>mL</v>
      </c>
      <c r="G73" s="106">
        <f>IFERROR(VLOOKUP(B73,'Spesifikasi Bahan'!$A$2:$G$10074,7,FALSE),"")</f>
        <v>3000</v>
      </c>
      <c r="H73" s="107">
        <f t="shared" si="1"/>
        <v>3820</v>
      </c>
      <c r="I73" s="107">
        <f>SUMIF('Form Responses Incoming'!$C$2:$C$10131,B73,'Form Responses Incoming'!$D$2:D10199)</f>
        <v>4000</v>
      </c>
      <c r="J73" s="107">
        <f>SUMIF('Form Responses Usage'!$C$2:$C$11115,B73,'Form Responses Usage'!$D$2:$D$11115)</f>
        <v>180</v>
      </c>
      <c r="K73" s="108" t="str">
        <f t="shared" si="2"/>
        <v>OK</v>
      </c>
      <c r="L73" s="109" t="str">
        <f>IFERROR(VLOOKUP(B73,'Spesifikasi Bahan'!$A$2:$D$10074,4,FALSE),"")</f>
        <v>A - 1045 - SmartLab</v>
      </c>
      <c r="M73" s="110"/>
      <c r="N73" s="104" t="e">
        <v>#N/A</v>
      </c>
    </row>
    <row r="74">
      <c r="A74" s="104">
        <v>70.0</v>
      </c>
      <c r="B74" s="105" t="s">
        <v>850</v>
      </c>
      <c r="C74" s="106" t="str">
        <f>IFERROR(VLOOKUP(B74,'Spesifikasi Bahan'!$A$2:$B$10074,2,FALSE),"")</f>
        <v>Chloroform</v>
      </c>
      <c r="D74" s="106" t="str">
        <f>IFERROR(VLOOKUP(B74,'Spesifikasi Bahan'!$A$2:$C$10074,3,FALSE),"")</f>
        <v>CHCl3</v>
      </c>
      <c r="E74" s="106">
        <f>IFERROR(VLOOKUP(B74,'Spesifikasi Bahan'!$A$2:$E$10074,5,FALSE),"")</f>
        <v>4000</v>
      </c>
      <c r="F74" s="106" t="str">
        <f>IFERROR(VLOOKUP(B74,'Spesifikasi Bahan'!$A$2:$F$10074,6,FALSE),"")</f>
        <v>mL</v>
      </c>
      <c r="G74" s="106">
        <f>IFERROR(VLOOKUP(B74,'Spesifikasi Bahan'!$A$2:$G$10074,7,FALSE),"")</f>
        <v>3000</v>
      </c>
      <c r="H74" s="107">
        <f t="shared" si="1"/>
        <v>3596</v>
      </c>
      <c r="I74" s="107">
        <f>SUMIF('Form Responses Incoming'!$C$2:$C$10131,B74,'Form Responses Incoming'!$D$2:D10200)</f>
        <v>8000</v>
      </c>
      <c r="J74" s="107">
        <f>SUMIF('Form Responses Usage'!$C$2:$C$11115,B74,'Form Responses Usage'!$D$2:$D$11115)</f>
        <v>4404</v>
      </c>
      <c r="K74" s="108" t="str">
        <f t="shared" si="2"/>
        <v>OK</v>
      </c>
      <c r="L74" s="109" t="str">
        <f>IFERROR(VLOOKUP(B74,'Spesifikasi Bahan'!$A$2:$D$10074,4,FALSE),"")</f>
        <v>A - 1022 - SmartLab dan 67663 - RCl Labscan</v>
      </c>
      <c r="M74" s="110"/>
      <c r="N74" s="104" t="e">
        <v>#N/A</v>
      </c>
    </row>
    <row r="75">
      <c r="A75" s="104">
        <v>71.0</v>
      </c>
      <c r="B75" s="105" t="s">
        <v>856</v>
      </c>
      <c r="C75" s="106" t="str">
        <f>IFERROR(VLOOKUP(B75,'Spesifikasi Bahan'!$A$2:$B$10074,2,FALSE),"")</f>
        <v>Methanol</v>
      </c>
      <c r="D75" s="106" t="str">
        <f>IFERROR(VLOOKUP(B75,'Spesifikasi Bahan'!$A$2:$C$10074,3,FALSE),"")</f>
        <v>CH3OH</v>
      </c>
      <c r="E75" s="106">
        <f>IFERROR(VLOOKUP(B75,'Spesifikasi Bahan'!$A$2:$E$10074,5,FALSE),"")</f>
        <v>4000</v>
      </c>
      <c r="F75" s="106" t="str">
        <f>IFERROR(VLOOKUP(B75,'Spesifikasi Bahan'!$A$2:$F$10074,6,FALSE),"")</f>
        <v>mL</v>
      </c>
      <c r="G75" s="106">
        <f>IFERROR(VLOOKUP(B75,'Spesifikasi Bahan'!$A$2:$G$10074,7,FALSE),"")</f>
        <v>1000</v>
      </c>
      <c r="H75" s="107">
        <f t="shared" si="1"/>
        <v>6705</v>
      </c>
      <c r="I75" s="107">
        <f>SUMIF('Form Responses Incoming'!$C$2:$C$10131,B75,'Form Responses Incoming'!$D$2:D10201)</f>
        <v>8000</v>
      </c>
      <c r="J75" s="107">
        <f>SUMIF('Form Responses Usage'!$C$2:$C$11115,B75,'Form Responses Usage'!$D$2:$D$11115)</f>
        <v>1295</v>
      </c>
      <c r="K75" s="108" t="str">
        <f t="shared" si="2"/>
        <v>OK</v>
      </c>
      <c r="L75" s="109" t="str">
        <f>IFERROR(VLOOKUP(B75,'Spesifikasi Bahan'!$A$2:$D$10074,4,FALSE),"")</f>
        <v>A - 1056 - SmartLab</v>
      </c>
      <c r="M75" s="110"/>
      <c r="N75" s="104" t="e">
        <v>#N/A</v>
      </c>
    </row>
    <row r="76">
      <c r="A76" s="104">
        <v>72.0</v>
      </c>
      <c r="B76" s="105" t="s">
        <v>862</v>
      </c>
      <c r="C76" s="106" t="str">
        <f>IFERROR(VLOOKUP(B76,'Spesifikasi Bahan'!$A$2:$B$10074,2,FALSE),"")</f>
        <v>Acetic Acid Glasial</v>
      </c>
      <c r="D76" s="106" t="str">
        <f>IFERROR(VLOOKUP(B76,'Spesifikasi Bahan'!$A$2:$C$10074,3,FALSE),"")</f>
        <v>CH3COOH</v>
      </c>
      <c r="E76" s="106">
        <f>IFERROR(VLOOKUP(B76,'Spesifikasi Bahan'!$A$2:$E$10074,5,FALSE),"")</f>
        <v>2500</v>
      </c>
      <c r="F76" s="106" t="str">
        <f>IFERROR(VLOOKUP(B76,'Spesifikasi Bahan'!$A$2:$F$10074,6,FALSE),"")</f>
        <v>mL</v>
      </c>
      <c r="G76" s="106">
        <f>IFERROR(VLOOKUP(B76,'Spesifikasi Bahan'!$A$2:$G$10074,7,FALSE),"")</f>
        <v>500</v>
      </c>
      <c r="H76" s="107">
        <f t="shared" si="1"/>
        <v>2230.2</v>
      </c>
      <c r="I76" s="107">
        <f>SUMIF('Form Responses Incoming'!$C$2:$C$10131,B76,'Form Responses Incoming'!$D$2:D10202)</f>
        <v>2500</v>
      </c>
      <c r="J76" s="107">
        <f>SUMIF('Form Responses Usage'!$C$2:$C$11115,B76,'Form Responses Usage'!$D$2:$D$11115)</f>
        <v>269.8</v>
      </c>
      <c r="K76" s="108" t="str">
        <f t="shared" si="2"/>
        <v>OK</v>
      </c>
      <c r="L76" s="109" t="str">
        <f>IFERROR(VLOOKUP(B76,'Spesifikasi Bahan'!$A$2:$D$10074,4,FALSE),"")</f>
        <v>A - 1001 - SmartLab</v>
      </c>
      <c r="M76" s="110"/>
      <c r="N76" s="104" t="e">
        <v>#N/A</v>
      </c>
    </row>
    <row r="77">
      <c r="A77" s="104">
        <v>73.0</v>
      </c>
      <c r="B77" s="105" t="s">
        <v>869</v>
      </c>
      <c r="C77" s="106" t="str">
        <f>IFERROR(VLOOKUP(B77,'Spesifikasi Bahan'!$A$2:$B$10074,2,FALSE),"")</f>
        <v>n-Hexadecane</v>
      </c>
      <c r="D77" s="106" t="str">
        <f>IFERROR(VLOOKUP(B77,'Spesifikasi Bahan'!$A$2:$C$10074,3,FALSE),"")</f>
        <v>C16H34</v>
      </c>
      <c r="E77" s="106">
        <f>IFERROR(VLOOKUP(B77,'Spesifikasi Bahan'!$A$2:$E$10074,5,FALSE),"")</f>
        <v>250</v>
      </c>
      <c r="F77" s="106" t="str">
        <f>IFERROR(VLOOKUP(B77,'Spesifikasi Bahan'!$A$2:$F$10074,6,FALSE),"")</f>
        <v>mL</v>
      </c>
      <c r="G77" s="106">
        <f>IFERROR(VLOOKUP(B77,'Spesifikasi Bahan'!$A$2:$G$10074,7,FALSE),"")</f>
        <v>50</v>
      </c>
      <c r="H77" s="107">
        <f t="shared" si="1"/>
        <v>248.6</v>
      </c>
      <c r="I77" s="107">
        <f>SUMIF('Form Responses Incoming'!$C$2:$C$10131,B77,'Form Responses Incoming'!$D$2:D10203)</f>
        <v>250</v>
      </c>
      <c r="J77" s="107">
        <f>SUMIF('Form Responses Usage'!$C$2:$C$11115,B77,'Form Responses Usage'!$D$2:$D$11115)</f>
        <v>1.4</v>
      </c>
      <c r="K77" s="108" t="str">
        <f t="shared" si="2"/>
        <v>OK</v>
      </c>
      <c r="L77" s="109" t="str">
        <f>IFERROR(VLOOKUP(B77,'Spesifikasi Bahan'!$A$2:$D$10074,4,FALSE),"")</f>
        <v>8.20633 - SigmaAldrich</v>
      </c>
      <c r="M77" s="110"/>
      <c r="N77" s="104" t="e">
        <v>#N/A</v>
      </c>
    </row>
    <row r="78">
      <c r="A78" s="104">
        <v>74.0</v>
      </c>
      <c r="B78" s="105" t="s">
        <v>875</v>
      </c>
      <c r="C78" s="106" t="str">
        <f>IFERROR(VLOOKUP(B78,'Spesifikasi Bahan'!$A$2:$B$10074,2,FALSE),"")</f>
        <v>Orto-Asam Fosfor 85%</v>
      </c>
      <c r="D78" s="106" t="str">
        <f>IFERROR(VLOOKUP(B78,'Spesifikasi Bahan'!$A$2:$C$10074,3,FALSE),"")</f>
        <v>H3PO4</v>
      </c>
      <c r="E78" s="106">
        <f>IFERROR(VLOOKUP(B78,'Spesifikasi Bahan'!$A$2:$E$10074,5,FALSE),"")</f>
        <v>2500</v>
      </c>
      <c r="F78" s="106" t="str">
        <f>IFERROR(VLOOKUP(B78,'Spesifikasi Bahan'!$A$2:$F$10074,6,FALSE),"")</f>
        <v>mL</v>
      </c>
      <c r="G78" s="106">
        <f>IFERROR(VLOOKUP(B78,'Spesifikasi Bahan'!$A$2:$G$10074,7,FALSE),"")</f>
        <v>500</v>
      </c>
      <c r="H78" s="107">
        <f t="shared" si="1"/>
        <v>2365.7</v>
      </c>
      <c r="I78" s="107">
        <f>SUMIF('Form Responses Incoming'!$C$2:$C$10131,B78,'Form Responses Incoming'!$D$2:D10204)</f>
        <v>2600</v>
      </c>
      <c r="J78" s="107">
        <f>SUMIF('Form Responses Usage'!$C$2:$C$11115,B78,'Form Responses Usage'!$D$2:$D$11115)</f>
        <v>234.3</v>
      </c>
      <c r="K78" s="108" t="str">
        <f t="shared" si="2"/>
        <v>OK</v>
      </c>
      <c r="L78" s="109" t="str">
        <f>IFERROR(VLOOKUP(B78,'Spesifikasi Bahan'!$A$2:$D$10074,4,FALSE),"")</f>
        <v>A-1076 - Smartlab </v>
      </c>
      <c r="M78" s="111"/>
      <c r="N78" s="104" t="e">
        <v>#N/A</v>
      </c>
    </row>
    <row r="79">
      <c r="A79" s="104">
        <v>75.0</v>
      </c>
      <c r="B79" s="105" t="s">
        <v>882</v>
      </c>
      <c r="C79" s="106" t="str">
        <f>IFERROR(VLOOKUP(B79,'Spesifikasi Bahan'!$A$2:$B$10074,2,FALSE),"")</f>
        <v>Sodium hypochlorite solution</v>
      </c>
      <c r="D79" s="106" t="str">
        <f>IFERROR(VLOOKUP(B79,'Spesifikasi Bahan'!$A$2:$C$10074,3,FALSE),"")</f>
        <v>NaClO</v>
      </c>
      <c r="E79" s="106">
        <f>IFERROR(VLOOKUP(B79,'Spesifikasi Bahan'!$A$2:$E$10074,5,FALSE),"")</f>
        <v>500</v>
      </c>
      <c r="F79" s="106" t="str">
        <f>IFERROR(VLOOKUP(B79,'Spesifikasi Bahan'!$A$2:$F$10074,6,FALSE),"")</f>
        <v>mL</v>
      </c>
      <c r="G79" s="106">
        <f>IFERROR(VLOOKUP(B79,'Spesifikasi Bahan'!$A$2:$G$10074,7,FALSE),"")</f>
        <v>200</v>
      </c>
      <c r="H79" s="107">
        <f t="shared" si="1"/>
        <v>1394.4</v>
      </c>
      <c r="I79" s="107">
        <f>SUMIF('Form Responses Incoming'!$C$2:$C$10131,B79,'Form Responses Incoming'!$D$2:D10205)</f>
        <v>2000</v>
      </c>
      <c r="J79" s="107">
        <f>SUMIF('Form Responses Usage'!$C$2:$C$11115,B79,'Form Responses Usage'!$D$2:$D$11115)</f>
        <v>605.6</v>
      </c>
      <c r="K79" s="108" t="str">
        <f t="shared" si="2"/>
        <v>OK</v>
      </c>
      <c r="L79" s="109" t="str">
        <f>IFERROR(VLOOKUP(B79,'Spesifikasi Bahan'!$A$2:$D$10074,4,FALSE),"")</f>
        <v>239305 - SigmaAldrich</v>
      </c>
      <c r="M79" s="110"/>
      <c r="N79" s="104" t="e">
        <v>#N/A</v>
      </c>
    </row>
    <row r="80">
      <c r="A80" s="104">
        <v>76.0</v>
      </c>
      <c r="B80" s="105" t="s">
        <v>888</v>
      </c>
      <c r="C80" s="106" t="str">
        <f>IFERROR(VLOOKUP(B80,'Spesifikasi Bahan'!$A$2:$B$10074,2,FALSE),"")</f>
        <v>Vetro Clean</v>
      </c>
      <c r="D80" s="106" t="str">
        <f>IFERROR(VLOOKUP(B80,'Spesifikasi Bahan'!$A$2:$C$10074,3,FALSE),"")</f>
        <v>-</v>
      </c>
      <c r="E80" s="106">
        <f>IFERROR(VLOOKUP(B80,'Spesifikasi Bahan'!$A$2:$E$10074,5,FALSE),"")</f>
        <v>500</v>
      </c>
      <c r="F80" s="106" t="str">
        <f>IFERROR(VLOOKUP(B80,'Spesifikasi Bahan'!$A$2:$F$10074,6,FALSE),"")</f>
        <v>mL</v>
      </c>
      <c r="G80" s="106">
        <f>IFERROR(VLOOKUP(B80,'Spesifikasi Bahan'!$A$2:$G$10074,7,FALSE),"")</f>
        <v>100</v>
      </c>
      <c r="H80" s="107">
        <f t="shared" si="1"/>
        <v>464</v>
      </c>
      <c r="I80" s="107">
        <f>SUMIF('Form Responses Incoming'!$C$2:$C$10131,B80,'Form Responses Incoming'!$D$2:D10206)</f>
        <v>1000</v>
      </c>
      <c r="J80" s="107">
        <f>SUMIF('Form Responses Usage'!$C$2:$C$11115,B80,'Form Responses Usage'!$D$2:$D$11115)</f>
        <v>536</v>
      </c>
      <c r="K80" s="108" t="str">
        <f t="shared" si="2"/>
        <v>OK</v>
      </c>
      <c r="L80" s="109" t="str">
        <f>IFERROR(VLOOKUP(B80,'Spesifikasi Bahan'!$A$2:$D$10074,4,FALSE),"")</f>
        <v>BTLC9001033 - SmartLab</v>
      </c>
      <c r="M80" s="110"/>
      <c r="N80" s="104" t="e">
        <v>#N/A</v>
      </c>
    </row>
    <row r="81">
      <c r="A81" s="104">
        <v>77.0</v>
      </c>
      <c r="B81" s="105" t="s">
        <v>892</v>
      </c>
      <c r="C81" s="106" t="str">
        <f>IFERROR(VLOOKUP(B81,'Spesifikasi Bahan'!$A$2:$B$10074,2,FALSE),"")</f>
        <v>Ethanol</v>
      </c>
      <c r="D81" s="106" t="str">
        <f>IFERROR(VLOOKUP(B81,'Spesifikasi Bahan'!$A$2:$C$10074,3,FALSE),"")</f>
        <v>C2H6O</v>
      </c>
      <c r="E81" s="106">
        <f>IFERROR(VLOOKUP(B81,'Spesifikasi Bahan'!$A$2:$E$10074,5,FALSE),"")</f>
        <v>2500</v>
      </c>
      <c r="F81" s="106" t="str">
        <f>IFERROR(VLOOKUP(B81,'Spesifikasi Bahan'!$A$2:$F$10074,6,FALSE),"")</f>
        <v>mL</v>
      </c>
      <c r="G81" s="106">
        <f>IFERROR(VLOOKUP(B81,'Spesifikasi Bahan'!$A$2:$G$10074,7,FALSE),"")</f>
        <v>1000</v>
      </c>
      <c r="H81" s="107">
        <f t="shared" si="1"/>
        <v>1900.1</v>
      </c>
      <c r="I81" s="107">
        <f>SUMIF('Form Responses Incoming'!$C$2:$C$10131,B81,'Form Responses Incoming'!$D$2:D10207)</f>
        <v>2500</v>
      </c>
      <c r="J81" s="107">
        <f>SUMIF('Form Responses Usage'!$C$2:$C$11115,B81,'Form Responses Usage'!$D$2:$D$11115)</f>
        <v>599.9</v>
      </c>
      <c r="K81" s="108" t="str">
        <f t="shared" si="2"/>
        <v>OK</v>
      </c>
      <c r="L81" s="109" t="str">
        <f>IFERROR(VLOOKUP(B81,'Spesifikasi Bahan'!$A$2:$D$10074,4,FALSE),"")</f>
        <v>1.00983.2500 - SigmaAldrich</v>
      </c>
      <c r="M81" s="110"/>
      <c r="N81" s="104" t="e">
        <v>#N/A</v>
      </c>
    </row>
    <row r="82">
      <c r="A82" s="104">
        <v>78.0</v>
      </c>
      <c r="B82" s="105" t="s">
        <v>898</v>
      </c>
      <c r="C82" s="106" t="str">
        <f>IFERROR(VLOOKUP(B82,'Spesifikasi Bahan'!$A$2:$B$10074,2,FALSE),"")</f>
        <v>Buffer solution pH 4</v>
      </c>
      <c r="D82" s="106" t="str">
        <f>IFERROR(VLOOKUP(B82,'Spesifikasi Bahan'!$A$2:$C$10074,3,FALSE),"")</f>
        <v>-</v>
      </c>
      <c r="E82" s="106">
        <f>IFERROR(VLOOKUP(B82,'Spesifikasi Bahan'!$A$2:$E$10074,5,FALSE),"")</f>
        <v>1000</v>
      </c>
      <c r="F82" s="106" t="str">
        <f>IFERROR(VLOOKUP(B82,'Spesifikasi Bahan'!$A$2:$F$10074,6,FALSE),"")</f>
        <v>mL</v>
      </c>
      <c r="G82" s="106">
        <f>IFERROR(VLOOKUP(B82,'Spesifikasi Bahan'!$A$2:$G$10074,7,FALSE),"")</f>
        <v>200</v>
      </c>
      <c r="H82" s="107">
        <f t="shared" si="1"/>
        <v>745</v>
      </c>
      <c r="I82" s="107">
        <f>SUMIF('Form Responses Incoming'!$C$2:$C$10131,B82,'Form Responses Incoming'!$D$2:D10208)</f>
        <v>1000</v>
      </c>
      <c r="J82" s="107">
        <f>SUMIF('Form Responses Usage'!$C$2:$C$11115,B82,'Form Responses Usage'!$D$2:$D$11115)</f>
        <v>255</v>
      </c>
      <c r="K82" s="108" t="str">
        <f t="shared" si="2"/>
        <v>OK</v>
      </c>
      <c r="L82" s="109" t="str">
        <f>IFERROR(VLOOKUP(B82,'Spesifikasi Bahan'!$A$2:$D$10074,4,FALSE),"")</f>
        <v>1.09435.1000 - SigmaAldrich</v>
      </c>
      <c r="M82" s="110"/>
      <c r="N82" s="104" t="e">
        <v>#N/A</v>
      </c>
    </row>
    <row r="83">
      <c r="A83" s="104">
        <v>79.0</v>
      </c>
      <c r="B83" s="105" t="s">
        <v>904</v>
      </c>
      <c r="C83" s="106" t="str">
        <f>IFERROR(VLOOKUP(B83,'Spesifikasi Bahan'!$A$2:$B$10074,2,FALSE),"")</f>
        <v>Buffer solution pH 7</v>
      </c>
      <c r="D83" s="106" t="str">
        <f>IFERROR(VLOOKUP(B83,'Spesifikasi Bahan'!$A$2:$C$10074,3,FALSE),"")</f>
        <v>-</v>
      </c>
      <c r="E83" s="106">
        <f>IFERROR(VLOOKUP(B83,'Spesifikasi Bahan'!$A$2:$E$10074,5,FALSE),"")</f>
        <v>1000</v>
      </c>
      <c r="F83" s="106" t="str">
        <f>IFERROR(VLOOKUP(B83,'Spesifikasi Bahan'!$A$2:$F$10074,6,FALSE),"")</f>
        <v>mL</v>
      </c>
      <c r="G83" s="106">
        <f>IFERROR(VLOOKUP(B83,'Spesifikasi Bahan'!$A$2:$G$10074,7,FALSE),"")</f>
        <v>200</v>
      </c>
      <c r="H83" s="107">
        <f t="shared" si="1"/>
        <v>760</v>
      </c>
      <c r="I83" s="107">
        <f>SUMIF('Form Responses Incoming'!$C$2:$C$10131,B83,'Form Responses Incoming'!$D$2:D10209)</f>
        <v>1000</v>
      </c>
      <c r="J83" s="107">
        <f>SUMIF('Form Responses Usage'!$C$2:$C$11115,B83,'Form Responses Usage'!$D$2:$D$11115)</f>
        <v>240</v>
      </c>
      <c r="K83" s="108" t="str">
        <f t="shared" si="2"/>
        <v>OK</v>
      </c>
      <c r="L83" s="109" t="str">
        <f>IFERROR(VLOOKUP(B83,'Spesifikasi Bahan'!$A$2:$D$10074,4,FALSE),"")</f>
        <v>1.09439.1000 - SigmaAldrich</v>
      </c>
      <c r="M83" s="110"/>
      <c r="N83" s="104" t="e">
        <v>#N/A</v>
      </c>
    </row>
    <row r="84">
      <c r="A84" s="104">
        <v>80.0</v>
      </c>
      <c r="B84" s="105" t="s">
        <v>909</v>
      </c>
      <c r="C84" s="106" t="str">
        <f>IFERROR(VLOOKUP(B84,'Spesifikasi Bahan'!$A$2:$B$10074,2,FALSE),"")</f>
        <v>Buffer solution pH 10</v>
      </c>
      <c r="D84" s="106" t="str">
        <f>IFERROR(VLOOKUP(B84,'Spesifikasi Bahan'!$A$2:$C$10074,3,FALSE),"")</f>
        <v>-</v>
      </c>
      <c r="E84" s="106">
        <f>IFERROR(VLOOKUP(B84,'Spesifikasi Bahan'!$A$2:$E$10074,5,FALSE),"")</f>
        <v>1000</v>
      </c>
      <c r="F84" s="106" t="str">
        <f>IFERROR(VLOOKUP(B84,'Spesifikasi Bahan'!$A$2:$F$10074,6,FALSE),"")</f>
        <v>mL</v>
      </c>
      <c r="G84" s="106">
        <f>IFERROR(VLOOKUP(B84,'Spesifikasi Bahan'!$A$2:$G$10074,7,FALSE),"")</f>
        <v>200</v>
      </c>
      <c r="H84" s="107">
        <f t="shared" si="1"/>
        <v>735</v>
      </c>
      <c r="I84" s="107">
        <f>SUMIF('Form Responses Incoming'!$C$2:$C$10131,B84,'Form Responses Incoming'!$D$2:D10210)</f>
        <v>1000</v>
      </c>
      <c r="J84" s="107">
        <f>SUMIF('Form Responses Usage'!$C$2:$C$11115,B84,'Form Responses Usage'!$D$2:$D$11115)</f>
        <v>265</v>
      </c>
      <c r="K84" s="108" t="str">
        <f t="shared" si="2"/>
        <v>OK</v>
      </c>
      <c r="L84" s="109" t="str">
        <f>IFERROR(VLOOKUP(B84,'Spesifikasi Bahan'!$A$2:$D$10074,4,FALSE),"")</f>
        <v>1.09438.1000 - SigmaAldrich</v>
      </c>
      <c r="M84" s="110"/>
      <c r="N84" s="104" t="e">
        <v>#N/A</v>
      </c>
    </row>
    <row r="85">
      <c r="A85" s="104">
        <v>81.0</v>
      </c>
      <c r="B85" s="105" t="s">
        <v>1048</v>
      </c>
      <c r="C85" s="106" t="str">
        <f>IFERROR(VLOOKUP(B85,'Spesifikasi Bahan'!$A$2:$B$10074,2,FALSE),"")</f>
        <v>Helium</v>
      </c>
      <c r="D85" s="106" t="str">
        <f>IFERROR(VLOOKUP(B85,'Spesifikasi Bahan'!$A$2:$C$10074,3,FALSE),"")</f>
        <v>UHP</v>
      </c>
      <c r="E85" s="106">
        <f>IFERROR(VLOOKUP(B85,'Spesifikasi Bahan'!$A$2:$E$10074,5,FALSE),"")</f>
        <v>1</v>
      </c>
      <c r="F85" s="106" t="str">
        <f>IFERROR(VLOOKUP(B85,'Spesifikasi Bahan'!$A$2:$F$10074,6,FALSE),"")</f>
        <v>Tabung</v>
      </c>
      <c r="G85" s="106">
        <f>IFERROR(VLOOKUP(B85,'Spesifikasi Bahan'!$A$2:$G$10074,7,FALSE),"")</f>
        <v>1</v>
      </c>
      <c r="H85" s="107">
        <f t="shared" si="1"/>
        <v>1</v>
      </c>
      <c r="I85" s="107">
        <f>SUMIF('Form Responses Incoming'!$C$2:$C$10131,B85,'Form Responses Incoming'!$D$2:D10211)</f>
        <v>1</v>
      </c>
      <c r="J85" s="107">
        <f>SUMIF('Form Responses Usage'!$C$2:$C$11115,B85,'Form Responses Usage'!$D$2:$D$11115)</f>
        <v>0</v>
      </c>
      <c r="K85" s="108" t="str">
        <f t="shared" si="2"/>
        <v>OK</v>
      </c>
      <c r="L85" s="109" t="str">
        <f>IFERROR(VLOOKUP(B85,'Spesifikasi Bahan'!$A$2:$D$10074,4,FALSE),"")</f>
        <v/>
      </c>
      <c r="M85" s="110"/>
      <c r="N85" s="104" t="e">
        <v>#N/A</v>
      </c>
    </row>
    <row r="86">
      <c r="A86" s="104">
        <v>82.0</v>
      </c>
      <c r="B86" s="105" t="s">
        <v>1052</v>
      </c>
      <c r="C86" s="106" t="str">
        <f>IFERROR(VLOOKUP(B86,'Spesifikasi Bahan'!$A$2:$B$10074,2,FALSE),"")</f>
        <v>Argon</v>
      </c>
      <c r="D86" s="106" t="str">
        <f>IFERROR(VLOOKUP(B86,'Spesifikasi Bahan'!$A$2:$C$10074,3,FALSE),"")</f>
        <v>UHP</v>
      </c>
      <c r="E86" s="106">
        <f>IFERROR(VLOOKUP(B86,'Spesifikasi Bahan'!$A$2:$E$10074,5,FALSE),"")</f>
        <v>2</v>
      </c>
      <c r="F86" s="106" t="str">
        <f>IFERROR(VLOOKUP(B86,'Spesifikasi Bahan'!$A$2:$F$10074,6,FALSE),"")</f>
        <v>Tabung</v>
      </c>
      <c r="G86" s="106">
        <f>IFERROR(VLOOKUP(B86,'Spesifikasi Bahan'!$A$2:$G$10074,7,FALSE),"")</f>
        <v>2</v>
      </c>
      <c r="H86" s="107">
        <f t="shared" si="1"/>
        <v>2</v>
      </c>
      <c r="I86" s="107">
        <f>SUMIF('Form Responses Incoming'!$C$2:$C$10131,B86,'Form Responses Incoming'!$D$2:D10212)</f>
        <v>2</v>
      </c>
      <c r="J86" s="107">
        <f>SUMIF('Form Responses Usage'!$C$2:$C$11115,B86,'Form Responses Usage'!$D$2:$D$11115)</f>
        <v>0</v>
      </c>
      <c r="K86" s="108" t="str">
        <f t="shared" si="2"/>
        <v>OK</v>
      </c>
      <c r="L86" s="109" t="str">
        <f>IFERROR(VLOOKUP(B86,'Spesifikasi Bahan'!$A$2:$D$10074,4,FALSE),"")</f>
        <v/>
      </c>
      <c r="M86" s="110"/>
      <c r="N86" s="104" t="e">
        <v>#N/A</v>
      </c>
    </row>
    <row r="87">
      <c r="A87" s="104">
        <v>82.0</v>
      </c>
      <c r="B87" s="105" t="s">
        <v>300</v>
      </c>
      <c r="C87" s="106" t="str">
        <f>IFERROR(VLOOKUP(B87,'Spesifikasi Bahan'!$A$2:$B$10074,2,FALSE),"")</f>
        <v>Methylene blue</v>
      </c>
      <c r="D87" s="106" t="str">
        <f>IFERROR(VLOOKUP(B87,'Spesifikasi Bahan'!$A$2:$C$10074,3,FALSE),"")</f>
        <v>-</v>
      </c>
      <c r="E87" s="106">
        <f>IFERROR(VLOOKUP(B87,'Spesifikasi Bahan'!$A$2:$E$10074,5,FALSE),"")</f>
        <v>10</v>
      </c>
      <c r="F87" s="106" t="str">
        <f>IFERROR(VLOOKUP(B87,'Spesifikasi Bahan'!$A$2:$F$10074,6,FALSE),"")</f>
        <v>gram</v>
      </c>
      <c r="G87" s="106">
        <f>IFERROR(VLOOKUP(B87,'Spesifikasi Bahan'!$A$2:$G$10074,7,FALSE),"")</f>
        <v>5</v>
      </c>
      <c r="H87" s="107">
        <f t="shared" si="1"/>
        <v>9.698</v>
      </c>
      <c r="I87" s="107">
        <f>SUMIF('Form Responses Incoming'!$C$2:$C$10131,B87,'Form Responses Incoming'!$D$2:D10213)</f>
        <v>10</v>
      </c>
      <c r="J87" s="107">
        <f>SUMIF('Form Responses Usage'!$C$2:$C$11115,B87,'Form Responses Usage'!$D$2:$D$11115)</f>
        <v>0.302</v>
      </c>
      <c r="K87" s="108" t="str">
        <f t="shared" si="2"/>
        <v>OK</v>
      </c>
      <c r="L87" s="109" t="str">
        <f>IFERROR(VLOOKUP(B87,'Spesifikasi Bahan'!$A$2:$D$10074,4,FALSE),"")</f>
        <v>1592700010 - Sigmaaldrich</v>
      </c>
      <c r="M87" s="110"/>
      <c r="N87" s="104" t="e">
        <v>#N/A</v>
      </c>
    </row>
    <row r="88">
      <c r="A88" s="104">
        <v>82.0</v>
      </c>
      <c r="B88" s="105" t="s">
        <v>305</v>
      </c>
      <c r="C88" s="106" t="str">
        <f>IFERROR(VLOOKUP(B88,'Spesifikasi Bahan'!$A$2:$B$10074,2,FALSE),"")</f>
        <v>Sodium Fluoride </v>
      </c>
      <c r="D88" s="106" t="str">
        <f>IFERROR(VLOOKUP(B88,'Spesifikasi Bahan'!$A$2:$C$10074,3,FALSE),"")</f>
        <v>NaF</v>
      </c>
      <c r="E88" s="106">
        <f>IFERROR(VLOOKUP(B88,'Spesifikasi Bahan'!$A$2:$E$10074,5,FALSE),"")</f>
        <v>250</v>
      </c>
      <c r="F88" s="106" t="str">
        <f>IFERROR(VLOOKUP(B88,'Spesifikasi Bahan'!$A$2:$F$10074,6,FALSE),"")</f>
        <v>gram</v>
      </c>
      <c r="G88" s="106">
        <f>IFERROR(VLOOKUP(B88,'Spesifikasi Bahan'!$A$2:$G$10074,7,FALSE),"")</f>
        <v>100</v>
      </c>
      <c r="H88" s="107">
        <f t="shared" si="1"/>
        <v>234.9779</v>
      </c>
      <c r="I88" s="107">
        <f>SUMIF('Form Responses Incoming'!$C$2:$C$10131,B88,'Form Responses Incoming'!$D$2:D10214)</f>
        <v>250</v>
      </c>
      <c r="J88" s="107">
        <f>SUMIF('Form Responses Usage'!$C$2:$C$11115,B88,'Form Responses Usage'!$D$2:$D$11115)</f>
        <v>15.0221</v>
      </c>
      <c r="K88" s="108" t="str">
        <f t="shared" si="2"/>
        <v>OK</v>
      </c>
      <c r="L88" s="109" t="str">
        <f>IFERROR(VLOOKUP(B88,'Spesifikasi Bahan'!$A$2:$D$10074,4,FALSE),"")</f>
        <v>1.06449.0250 - Sigmaaldrich</v>
      </c>
      <c r="M88" s="110"/>
      <c r="N88" s="104" t="e">
        <v>#N/A</v>
      </c>
    </row>
    <row r="89">
      <c r="A89" s="104">
        <v>82.0</v>
      </c>
      <c r="B89" s="105" t="s">
        <v>311</v>
      </c>
      <c r="C89" s="106" t="str">
        <f>IFERROR(VLOOKUP(B89,'Spesifikasi Bahan'!$A$2:$B$10074,2,FALSE),"")</f>
        <v>Sodium Chloride</v>
      </c>
      <c r="D89" s="106" t="str">
        <f>IFERROR(VLOOKUP(B89,'Spesifikasi Bahan'!$A$2:$C$10074,3,FALSE),"")</f>
        <v>NaCl</v>
      </c>
      <c r="E89" s="106">
        <f>IFERROR(VLOOKUP(B89,'Spesifikasi Bahan'!$A$2:$E$10074,5,FALSE),"")</f>
        <v>500</v>
      </c>
      <c r="F89" s="106" t="str">
        <f>IFERROR(VLOOKUP(B89,'Spesifikasi Bahan'!$A$2:$F$10074,6,FALSE),"")</f>
        <v>gram </v>
      </c>
      <c r="G89" s="106">
        <f>IFERROR(VLOOKUP(B89,'Spesifikasi Bahan'!$A$2:$G$10074,7,FALSE),"")</f>
        <v>250</v>
      </c>
      <c r="H89" s="107">
        <f t="shared" si="1"/>
        <v>414.087</v>
      </c>
      <c r="I89" s="107">
        <f>SUMIF('Form Responses Incoming'!$C$2:$C$10131,B89,'Form Responses Incoming'!$D$2:D10215)</f>
        <v>500</v>
      </c>
      <c r="J89" s="107">
        <f>SUMIF('Form Responses Usage'!$C$2:$C$11115,B89,'Form Responses Usage'!$D$2:$D$11115)</f>
        <v>85.913</v>
      </c>
      <c r="K89" s="108" t="str">
        <f t="shared" si="2"/>
        <v>OK</v>
      </c>
      <c r="L89" s="109" t="str">
        <f>IFERROR(VLOOKUP(B89,'Spesifikasi Bahan'!$A$2:$D$10074,4,FALSE),"")</f>
        <v>05820 - LobaChemie</v>
      </c>
      <c r="M89" s="110"/>
      <c r="N89" s="104" t="e">
        <v>#N/A</v>
      </c>
    </row>
    <row r="90">
      <c r="A90" s="104">
        <v>82.0</v>
      </c>
      <c r="B90" s="105" t="s">
        <v>318</v>
      </c>
      <c r="C90" s="106" t="str">
        <f>IFERROR(VLOOKUP(B90,'Spesifikasi Bahan'!$A$2:$B$10074,2,FALSE),"")</f>
        <v>Potassium Persulphate 98%</v>
      </c>
      <c r="D90" s="106" t="str">
        <f>IFERROR(VLOOKUP(B90,'Spesifikasi Bahan'!$A$2:$C$10074,3,FALSE),"")</f>
        <v>K2S2O8</v>
      </c>
      <c r="E90" s="106">
        <f>IFERROR(VLOOKUP(B90,'Spesifikasi Bahan'!$A$2:$E$10074,5,FALSE),"")</f>
        <v>500</v>
      </c>
      <c r="F90" s="106" t="str">
        <f>IFERROR(VLOOKUP(B90,'Spesifikasi Bahan'!$A$2:$F$10074,6,FALSE),"")</f>
        <v>gram</v>
      </c>
      <c r="G90" s="106">
        <f>IFERROR(VLOOKUP(B90,'Spesifikasi Bahan'!$A$2:$G$10074,7,FALSE),"")</f>
        <v>250</v>
      </c>
      <c r="H90" s="107">
        <f t="shared" si="1"/>
        <v>450.998</v>
      </c>
      <c r="I90" s="107">
        <f>SUMIF('Form Responses Incoming'!$C$2:$C$10131,B90,'Form Responses Incoming'!$D$2:D10216)</f>
        <v>500</v>
      </c>
      <c r="J90" s="107">
        <f>SUMIF('Form Responses Usage'!$C$2:$C$11115,B90,'Form Responses Usage'!$D$2:$D$11115)</f>
        <v>49.002</v>
      </c>
      <c r="K90" s="108" t="str">
        <f t="shared" si="2"/>
        <v>OK</v>
      </c>
      <c r="L90" s="109" t="str">
        <f>IFERROR(VLOOKUP(B90,'Spesifikasi Bahan'!$A$2:$D$10074,4,FALSE),"")</f>
        <v>05420 - LobaChemie</v>
      </c>
      <c r="M90" s="110"/>
      <c r="N90" s="104" t="e">
        <v>#N/A</v>
      </c>
    </row>
    <row r="91">
      <c r="A91" s="104">
        <v>82.0</v>
      </c>
      <c r="B91" s="105" t="s">
        <v>324</v>
      </c>
      <c r="C91" s="106" t="str">
        <f>IFERROR(VLOOKUP(B91,'Spesifikasi Bahan'!$A$2:$B$10074,2,FALSE),"")</f>
        <v>Ethylenediamine Tetraacetic Acid Disodium Salt 99%</v>
      </c>
      <c r="D91" s="106" t="str">
        <f>IFERROR(VLOOKUP(B91,'Spesifikasi Bahan'!$A$2:$C$10074,3,FALSE),"")</f>
        <v>C10H14N2Na2O8.2H2O</v>
      </c>
      <c r="E91" s="106">
        <f>IFERROR(VLOOKUP(B91,'Spesifikasi Bahan'!$A$2:$E$10074,5,FALSE),"")</f>
        <v>500</v>
      </c>
      <c r="F91" s="106" t="str">
        <f>IFERROR(VLOOKUP(B91,'Spesifikasi Bahan'!$A$2:$F$10074,6,FALSE),"")</f>
        <v>gram</v>
      </c>
      <c r="G91" s="106">
        <f>IFERROR(VLOOKUP(B91,'Spesifikasi Bahan'!$A$2:$G$10074,7,FALSE),"")</f>
        <v>250</v>
      </c>
      <c r="H91" s="107">
        <f t="shared" si="1"/>
        <v>435.5</v>
      </c>
      <c r="I91" s="107">
        <f>SUMIF('Form Responses Incoming'!$C$2:$C$10131,B91,'Form Responses Incoming'!$D$2:D10217)</f>
        <v>500</v>
      </c>
      <c r="J91" s="107">
        <f>SUMIF('Form Responses Usage'!$C$2:$C$11115,B91,'Form Responses Usage'!$D$2:$D$11115)</f>
        <v>64.5</v>
      </c>
      <c r="K91" s="108" t="str">
        <f t="shared" si="2"/>
        <v>OK</v>
      </c>
      <c r="L91" s="109" t="str">
        <f>IFERROR(VLOOKUP(B91,'Spesifikasi Bahan'!$A$2:$D$10074,4,FALSE),"")</f>
        <v>03731 - LobaChemie</v>
      </c>
      <c r="M91" s="110"/>
      <c r="N91" s="104" t="e">
        <v>#N/A</v>
      </c>
    </row>
    <row r="92">
      <c r="A92" s="104">
        <v>82.0</v>
      </c>
      <c r="B92" s="105" t="s">
        <v>331</v>
      </c>
      <c r="C92" s="106" t="str">
        <f>IFERROR(VLOOKUP(B92,'Spesifikasi Bahan'!$A$2:$B$10074,2,FALSE),"")</f>
        <v>Sodium Sulphate Anhydrous 99%</v>
      </c>
      <c r="D92" s="106" t="str">
        <f>IFERROR(VLOOKUP(B92,'Spesifikasi Bahan'!$A$2:$C$10074,3,FALSE),"")</f>
        <v>Na2SO4</v>
      </c>
      <c r="E92" s="106">
        <f>IFERROR(VLOOKUP(B92,'Spesifikasi Bahan'!$A$2:$E$10074,5,FALSE),"")</f>
        <v>500</v>
      </c>
      <c r="F92" s="106" t="str">
        <f>IFERROR(VLOOKUP(B92,'Spesifikasi Bahan'!$A$2:$F$10074,6,FALSE),"")</f>
        <v>gram</v>
      </c>
      <c r="G92" s="106">
        <f>IFERROR(VLOOKUP(B92,'Spesifikasi Bahan'!$A$2:$G$10074,7,FALSE),"")</f>
        <v>250</v>
      </c>
      <c r="H92" s="107">
        <f t="shared" si="1"/>
        <v>359.718</v>
      </c>
      <c r="I92" s="107">
        <f>SUMIF('Form Responses Incoming'!$C$2:$C$10131,B92,'Form Responses Incoming'!$D$2:D10218)</f>
        <v>500</v>
      </c>
      <c r="J92" s="107">
        <f>SUMIF('Form Responses Usage'!$C$2:$C$11115,B92,'Form Responses Usage'!$D$2:$D$11115)</f>
        <v>140.282</v>
      </c>
      <c r="K92" s="108" t="str">
        <f t="shared" si="2"/>
        <v>OK</v>
      </c>
      <c r="L92" s="109" t="str">
        <f>IFERROR(VLOOKUP(B92,'Spesifikasi Bahan'!$A$2:$D$10074,4,FALSE),"")</f>
        <v>06015 -  LobaChemie</v>
      </c>
      <c r="M92" s="110"/>
      <c r="N92" s="104" t="e">
        <v>#N/A</v>
      </c>
    </row>
    <row r="93">
      <c r="A93" s="104">
        <v>82.0</v>
      </c>
      <c r="B93" s="105" t="s">
        <v>337</v>
      </c>
      <c r="C93" s="106" t="str">
        <f>IFERROR(VLOOKUP(B93,'Spesifikasi Bahan'!$A$2:$B$10074,2,FALSE),"")</f>
        <v>Potassium Dichromate 99.9% </v>
      </c>
      <c r="D93" s="106" t="str">
        <f>IFERROR(VLOOKUP(B93,'Spesifikasi Bahan'!$A$2:$C$10074,3,FALSE),"")</f>
        <v>K2Cr2O7</v>
      </c>
      <c r="E93" s="106">
        <f>IFERROR(VLOOKUP(B93,'Spesifikasi Bahan'!$A$2:$E$10074,5,FALSE),"")</f>
        <v>500</v>
      </c>
      <c r="F93" s="106" t="str">
        <f>IFERROR(VLOOKUP(B93,'Spesifikasi Bahan'!$A$2:$F$10074,6,FALSE),"")</f>
        <v>gram</v>
      </c>
      <c r="G93" s="106">
        <f>IFERROR(VLOOKUP(B93,'Spesifikasi Bahan'!$A$2:$G$10074,7,FALSE),"")</f>
        <v>250</v>
      </c>
      <c r="H93" s="107">
        <f t="shared" si="1"/>
        <v>478.1948</v>
      </c>
      <c r="I93" s="107">
        <f>SUMIF('Form Responses Incoming'!$C$2:$C$10131,B93,'Form Responses Incoming'!$D$2:D10219)</f>
        <v>500</v>
      </c>
      <c r="J93" s="107">
        <f>SUMIF('Form Responses Usage'!$C$2:$C$11115,B93,'Form Responses Usage'!$D$2:$D$11115)</f>
        <v>21.8052</v>
      </c>
      <c r="K93" s="108" t="str">
        <f t="shared" si="2"/>
        <v>OK</v>
      </c>
      <c r="L93" s="109" t="str">
        <f>IFERROR(VLOOKUP(B93,'Spesifikasi Bahan'!$A$2:$D$10074,4,FALSE),"")</f>
        <v>05355 - LobaChemie</v>
      </c>
      <c r="M93" s="110"/>
      <c r="N93" s="104" t="e">
        <v>#N/A</v>
      </c>
    </row>
    <row r="94">
      <c r="A94" s="104">
        <v>82.0</v>
      </c>
      <c r="B94" s="105" t="s">
        <v>344</v>
      </c>
      <c r="C94" s="106" t="str">
        <f>IFERROR(VLOOKUP(B94,'Spesifikasi Bahan'!$A$2:$B$10074,2,FALSE),"")</f>
        <v>Sodium Thiosulphate Pentahydrate 99.5%</v>
      </c>
      <c r="D94" s="106" t="str">
        <f>IFERROR(VLOOKUP(B94,'Spesifikasi Bahan'!$A$2:$C$10074,3,FALSE),"")</f>
        <v>Na2S2O3.5H2O</v>
      </c>
      <c r="E94" s="106">
        <f>IFERROR(VLOOKUP(B94,'Spesifikasi Bahan'!$A$2:$E$10074,5,FALSE),"")</f>
        <v>500</v>
      </c>
      <c r="F94" s="106" t="str">
        <f>IFERROR(VLOOKUP(B94,'Spesifikasi Bahan'!$A$2:$F$10074,6,FALSE),"")</f>
        <v>gram</v>
      </c>
      <c r="G94" s="106">
        <f>IFERROR(VLOOKUP(B94,'Spesifikasi Bahan'!$A$2:$G$10074,7,FALSE),"")</f>
        <v>250</v>
      </c>
      <c r="H94" s="107">
        <f t="shared" si="1"/>
        <v>473.2345</v>
      </c>
      <c r="I94" s="107">
        <f>SUMIF('Form Responses Incoming'!$C$2:$C$10131,B94,'Form Responses Incoming'!$D$2:D10220)</f>
        <v>500</v>
      </c>
      <c r="J94" s="107">
        <f>SUMIF('Form Responses Usage'!$C$2:$C$11115,B94,'Form Responses Usage'!$D$2:$D$11115)</f>
        <v>26.7655</v>
      </c>
      <c r="K94" s="108" t="str">
        <f t="shared" si="2"/>
        <v>OK</v>
      </c>
      <c r="L94" s="109" t="str">
        <f>IFERROR(VLOOKUP(B94,'Spesifikasi Bahan'!$A$2:$D$10074,4,FALSE),"")</f>
        <v>06050 - LobaChemie</v>
      </c>
      <c r="M94" s="110"/>
      <c r="N94" s="104" t="e">
        <v>#N/A</v>
      </c>
    </row>
    <row r="95">
      <c r="A95" s="104">
        <v>82.0</v>
      </c>
      <c r="B95" s="105" t="s">
        <v>350</v>
      </c>
      <c r="C95" s="106" t="str">
        <f>IFERROR(VLOOKUP(B95,'Spesifikasi Bahan'!$A$2:$B$10074,2,FALSE),"")</f>
        <v>Potassium Phosphate Dibasic Anhydrous 99%</v>
      </c>
      <c r="D95" s="106" t="str">
        <f>IFERROR(VLOOKUP(B95,'Spesifikasi Bahan'!$A$2:$C$10074,3,FALSE),"")</f>
        <v>K2HPO4</v>
      </c>
      <c r="E95" s="106">
        <f>IFERROR(VLOOKUP(B95,'Spesifikasi Bahan'!$A$2:$E$10074,5,FALSE),"")</f>
        <v>500</v>
      </c>
      <c r="F95" s="106" t="str">
        <f>IFERROR(VLOOKUP(B95,'Spesifikasi Bahan'!$A$2:$F$10074,6,FALSE),"")</f>
        <v>gram</v>
      </c>
      <c r="G95" s="106">
        <f>IFERROR(VLOOKUP(B95,'Spesifikasi Bahan'!$A$2:$G$10074,7,FALSE),"")</f>
        <v>250</v>
      </c>
      <c r="H95" s="107">
        <f t="shared" si="1"/>
        <v>473.875</v>
      </c>
      <c r="I95" s="107">
        <f>SUMIF('Form Responses Incoming'!$C$2:$C$10131,B95,'Form Responses Incoming'!$D$2:D10221)</f>
        <v>500</v>
      </c>
      <c r="J95" s="107">
        <f>SUMIF('Form Responses Usage'!$C$2:$C$11115,B95,'Form Responses Usage'!$D$2:$D$11115)</f>
        <v>26.125</v>
      </c>
      <c r="K95" s="108" t="str">
        <f t="shared" si="2"/>
        <v>OK</v>
      </c>
      <c r="L95" s="109" t="str">
        <f>IFERROR(VLOOKUP(B95,'Spesifikasi Bahan'!$A$2:$D$10074,4,FALSE),"")</f>
        <v>05430 - LobaChemie</v>
      </c>
      <c r="M95" s="110"/>
      <c r="N95" s="104" t="e">
        <v>#N/A</v>
      </c>
    </row>
    <row r="96">
      <c r="A96" s="104">
        <v>82.0</v>
      </c>
      <c r="B96" s="105" t="s">
        <v>356</v>
      </c>
      <c r="C96" s="106" t="str">
        <f>IFERROR(VLOOKUP(B96,'Spesifikasi Bahan'!$A$2:$B$10074,2,FALSE),"")</f>
        <v>Potassium Dihydrogen Orthophosphat Anhydrous 99.5 %</v>
      </c>
      <c r="D96" s="106" t="str">
        <f>IFERROR(VLOOKUP(B96,'Spesifikasi Bahan'!$A$2:$C$10074,3,FALSE),"")</f>
        <v>KH2PO4</v>
      </c>
      <c r="E96" s="106">
        <f>IFERROR(VLOOKUP(B96,'Spesifikasi Bahan'!$A$2:$E$10074,5,FALSE),"")</f>
        <v>500</v>
      </c>
      <c r="F96" s="106" t="str">
        <f>IFERROR(VLOOKUP(B96,'Spesifikasi Bahan'!$A$2:$F$10074,6,FALSE),"")</f>
        <v>gram</v>
      </c>
      <c r="G96" s="106">
        <f>IFERROR(VLOOKUP(B96,'Spesifikasi Bahan'!$A$2:$G$10074,7,FALSE),"")</f>
        <v>250</v>
      </c>
      <c r="H96" s="107">
        <f t="shared" si="1"/>
        <v>421.5602</v>
      </c>
      <c r="I96" s="107">
        <f>SUMIF('Form Responses Incoming'!$C$2:$C$10131,B96,'Form Responses Incoming'!$D$2:D10222)</f>
        <v>500</v>
      </c>
      <c r="J96" s="107">
        <f>SUMIF('Form Responses Usage'!$C$2:$C$11115,B96,'Form Responses Usage'!$D$2:$D$11115)</f>
        <v>78.4398</v>
      </c>
      <c r="K96" s="108" t="str">
        <f t="shared" si="2"/>
        <v>OK</v>
      </c>
      <c r="L96" s="109" t="str">
        <f>IFERROR(VLOOKUP(B96,'Spesifikasi Bahan'!$A$2:$D$10074,4,FALSE),"")</f>
        <v>05357 - LobaChemie</v>
      </c>
      <c r="M96" s="110"/>
      <c r="N96" s="104" t="e">
        <v>#N/A</v>
      </c>
    </row>
    <row r="97">
      <c r="A97" s="104">
        <v>82.0</v>
      </c>
      <c r="B97" s="105" t="s">
        <v>362</v>
      </c>
      <c r="C97" s="106" t="str">
        <f>IFERROR(VLOOKUP(B97,'Spesifikasi Bahan'!$A$2:$B$10074,2,FALSE),"")</f>
        <v>Sodium Metabisulphite 97 %</v>
      </c>
      <c r="D97" s="106" t="str">
        <f>IFERROR(VLOOKUP(B97,'Spesifikasi Bahan'!$A$2:$C$10074,3,FALSE),"")</f>
        <v>Na2S2O5</v>
      </c>
      <c r="E97" s="106">
        <f>IFERROR(VLOOKUP(B97,'Spesifikasi Bahan'!$A$2:$E$10074,5,FALSE),"")</f>
        <v>500</v>
      </c>
      <c r="F97" s="106" t="str">
        <f>IFERROR(VLOOKUP(B97,'Spesifikasi Bahan'!$A$2:$F$10074,6,FALSE),"")</f>
        <v>gram</v>
      </c>
      <c r="G97" s="106">
        <f>IFERROR(VLOOKUP(B97,'Spesifikasi Bahan'!$A$2:$G$10074,7,FALSE),"")</f>
        <v>250</v>
      </c>
      <c r="H97" s="107">
        <f t="shared" si="1"/>
        <v>499.83</v>
      </c>
      <c r="I97" s="107">
        <f>SUMIF('Form Responses Incoming'!$C$2:$C$10131,B97,'Form Responses Incoming'!$D$2:D10223)</f>
        <v>500</v>
      </c>
      <c r="J97" s="107">
        <f>SUMIF('Form Responses Usage'!$C$2:$C$11115,B97,'Form Responses Usage'!$D$2:$D$11115)</f>
        <v>0.17</v>
      </c>
      <c r="K97" s="108" t="str">
        <f t="shared" si="2"/>
        <v>OK</v>
      </c>
      <c r="L97" s="109" t="str">
        <f>IFERROR(VLOOKUP(B97,'Spesifikasi Bahan'!$A$2:$D$10074,4,FALSE),"")</f>
        <v>05937 - LobaChemie</v>
      </c>
      <c r="M97" s="110"/>
      <c r="N97" s="104" t="e">
        <v>#N/A</v>
      </c>
    </row>
    <row r="98">
      <c r="A98" s="104">
        <v>82.0</v>
      </c>
      <c r="B98" s="105" t="s">
        <v>369</v>
      </c>
      <c r="C98" s="106" t="str">
        <f>IFERROR(VLOOKUP(B98,'Spesifikasi Bahan'!$A$2:$B$10074,2,FALSE),"")</f>
        <v>Glass Wool</v>
      </c>
      <c r="D98" s="106" t="str">
        <f>IFERROR(VLOOKUP(B98,'Spesifikasi Bahan'!$A$2:$C$10074,3,FALSE),"")</f>
        <v>-</v>
      </c>
      <c r="E98" s="106">
        <f>IFERROR(VLOOKUP(B98,'Spesifikasi Bahan'!$A$2:$E$10074,5,FALSE),"")</f>
        <v>250</v>
      </c>
      <c r="F98" s="106" t="str">
        <f>IFERROR(VLOOKUP(B98,'Spesifikasi Bahan'!$A$2:$F$10074,6,FALSE),"")</f>
        <v>gram</v>
      </c>
      <c r="G98" s="106">
        <f>IFERROR(VLOOKUP(B98,'Spesifikasi Bahan'!$A$2:$G$10074,7,FALSE),"")</f>
        <v>100</v>
      </c>
      <c r="H98" s="107">
        <f t="shared" si="1"/>
        <v>243</v>
      </c>
      <c r="I98" s="107">
        <f>SUMIF('Form Responses Incoming'!$C$2:$C$10131,B98,'Form Responses Incoming'!$D$2:D10224)</f>
        <v>250</v>
      </c>
      <c r="J98" s="107">
        <f>SUMIF('Form Responses Usage'!$C$2:$C$11115,B98,'Form Responses Usage'!$D$2:$D$11115)</f>
        <v>7</v>
      </c>
      <c r="K98" s="108" t="str">
        <f t="shared" si="2"/>
        <v>OK</v>
      </c>
      <c r="L98" s="109" t="str">
        <f>IFERROR(VLOOKUP(B98,'Spesifikasi Bahan'!$A$2:$D$10074,4,FALSE),"")</f>
        <v>03947 - LobaChemie</v>
      </c>
      <c r="M98" s="110"/>
      <c r="N98" s="104" t="e">
        <v>#N/A</v>
      </c>
    </row>
    <row r="99">
      <c r="A99" s="104">
        <v>82.0</v>
      </c>
      <c r="B99" s="105" t="s">
        <v>375</v>
      </c>
      <c r="C99" s="106" t="str">
        <f>IFERROR(VLOOKUP(B99,'Spesifikasi Bahan'!$A$2:$B$10074,2,FALSE),"")</f>
        <v>Sodium Carbonate </v>
      </c>
      <c r="D99" s="106" t="str">
        <f>IFERROR(VLOOKUP(B99,'Spesifikasi Bahan'!$A$2:$C$10074,3,FALSE),"")</f>
        <v>NaCO3</v>
      </c>
      <c r="E99" s="106">
        <f>IFERROR(VLOOKUP(B99,'Spesifikasi Bahan'!$A$2:$E$10074,5,FALSE),"")</f>
        <v>1000</v>
      </c>
      <c r="F99" s="106" t="str">
        <f>IFERROR(VLOOKUP(B99,'Spesifikasi Bahan'!$A$2:$F$10074,6,FALSE),"")</f>
        <v>gram</v>
      </c>
      <c r="G99" s="106">
        <f>IFERROR(VLOOKUP(B99,'Spesifikasi Bahan'!$A$2:$G$10074,7,FALSE),"")</f>
        <v>250</v>
      </c>
      <c r="H99" s="107">
        <f t="shared" si="1"/>
        <v>999.895</v>
      </c>
      <c r="I99" s="107">
        <f>SUMIF('Form Responses Incoming'!$C$2:$C$10131,B99,'Form Responses Incoming'!$D$2:D10225)</f>
        <v>1000</v>
      </c>
      <c r="J99" s="107">
        <f>SUMIF('Form Responses Usage'!$C$2:$C$11115,B99,'Form Responses Usage'!$D$2:$D$11115)</f>
        <v>0.105</v>
      </c>
      <c r="K99" s="108" t="str">
        <f t="shared" si="2"/>
        <v>OK</v>
      </c>
      <c r="L99" s="109" t="str">
        <f>IFERROR(VLOOKUP(B99,'Spesifikasi Bahan'!$A$2:$D$10074,4,FALSE),"")</f>
        <v>A-2048 - Smartlab</v>
      </c>
      <c r="M99" s="110"/>
      <c r="N99" s="104" t="e">
        <v>#N/A</v>
      </c>
    </row>
    <row r="100">
      <c r="A100" s="104">
        <v>82.0</v>
      </c>
      <c r="B100" s="105" t="s">
        <v>382</v>
      </c>
      <c r="C100" s="106" t="str">
        <f>IFERROR(VLOOKUP(B100,'Spesifikasi Bahan'!$A$2:$B$10074,2,FALSE),"")</f>
        <v>Di-Ammonium Hydrogen Phospate</v>
      </c>
      <c r="D100" s="106" t="str">
        <f>IFERROR(VLOOKUP(B100,'Spesifikasi Bahan'!$A$2:$C$10074,3,FALSE),"")</f>
        <v>(NH4)2HPO4</v>
      </c>
      <c r="E100" s="106">
        <f>IFERROR(VLOOKUP(B100,'Spesifikasi Bahan'!$A$2:$E$10074,5,FALSE),"")</f>
        <v>1000</v>
      </c>
      <c r="F100" s="106" t="str">
        <f>IFERROR(VLOOKUP(B100,'Spesifikasi Bahan'!$A$2:$F$10074,6,FALSE),"")</f>
        <v>gram</v>
      </c>
      <c r="G100" s="106">
        <f>IFERROR(VLOOKUP(B100,'Spesifikasi Bahan'!$A$2:$G$10074,7,FALSE),"")</f>
        <v>250</v>
      </c>
      <c r="H100" s="107">
        <f t="shared" si="1"/>
        <v>1300</v>
      </c>
      <c r="I100" s="107">
        <f>SUMIF('Form Responses Incoming'!$C$2:$C$10131,B100,'Form Responses Incoming'!$D$2:D10226)</f>
        <v>1500</v>
      </c>
      <c r="J100" s="107">
        <f>SUMIF('Form Responses Usage'!$C$2:$C$11115,B100,'Form Responses Usage'!$D$2:$D$11115)</f>
        <v>200</v>
      </c>
      <c r="K100" s="108" t="str">
        <f t="shared" si="2"/>
        <v>OK</v>
      </c>
      <c r="L100" s="109" t="str">
        <f>IFERROR(VLOOKUP(B100,'Spesifikasi Bahan'!$A$2:$D$10074,4,FALSE),"")</f>
        <v>A-2277 -  Smartlab</v>
      </c>
      <c r="M100" s="110"/>
      <c r="N100" s="104" t="e">
        <v>#N/A</v>
      </c>
    </row>
    <row r="101">
      <c r="A101" s="104">
        <v>82.0</v>
      </c>
      <c r="B101" s="105" t="s">
        <v>389</v>
      </c>
      <c r="C101" s="106" t="str">
        <f>IFERROR(VLOOKUP(B101,'Spesifikasi Bahan'!$A$2:$B$10074,2,FALSE),"")</f>
        <v>Ammonium Ferrous Sulphate</v>
      </c>
      <c r="D101" s="106" t="str">
        <f>IFERROR(VLOOKUP(B101,'Spesifikasi Bahan'!$A$2:$C$10074,3,FALSE),"")</f>
        <v>(NH4)2Fe(SO4)2.6H2O</v>
      </c>
      <c r="E101" s="106">
        <f>IFERROR(VLOOKUP(B101,'Spesifikasi Bahan'!$A$2:$E$10074,5,FALSE),"")</f>
        <v>1000</v>
      </c>
      <c r="F101" s="106" t="str">
        <f>IFERROR(VLOOKUP(B101,'Spesifikasi Bahan'!$A$2:$F$10074,6,FALSE),"")</f>
        <v>gram </v>
      </c>
      <c r="G101" s="106">
        <f>IFERROR(VLOOKUP(B101,'Spesifikasi Bahan'!$A$2:$G$10074,7,FALSE),"")</f>
        <v>250</v>
      </c>
      <c r="H101" s="107">
        <f t="shared" si="1"/>
        <v>1000</v>
      </c>
      <c r="I101" s="107">
        <f>SUMIF('Form Responses Incoming'!$C$2:$C$10131,B101,'Form Responses Incoming'!$D$2:D10227)</f>
        <v>1000</v>
      </c>
      <c r="J101" s="107">
        <f>SUMIF('Form Responses Usage'!$C$2:$C$11115,B101,'Form Responses Usage'!$D$2:$D$11115)</f>
        <v>0</v>
      </c>
      <c r="K101" s="108" t="str">
        <f t="shared" si="2"/>
        <v>OK</v>
      </c>
      <c r="L101" s="109" t="str">
        <f>IFERROR(VLOOKUP(B101,'Spesifikasi Bahan'!$A$2:$D$10074,4,FALSE),"")</f>
        <v>A-2005 - Smartlab</v>
      </c>
      <c r="M101" s="110"/>
      <c r="N101" s="104" t="e">
        <v>#N/A</v>
      </c>
    </row>
    <row r="102">
      <c r="A102" s="104">
        <v>82.0</v>
      </c>
      <c r="B102" s="105" t="s">
        <v>395</v>
      </c>
      <c r="C102" s="106" t="str">
        <f>IFERROR(VLOOKUP(B102,'Spesifikasi Bahan'!$A$2:$B$10074,2,FALSE),"")</f>
        <v>Sodium Oxalate (di-sodium Oxalate)</v>
      </c>
      <c r="D102" s="106" t="str">
        <f>IFERROR(VLOOKUP(B102,'Spesifikasi Bahan'!$A$2:$C$10074,3,FALSE),"")</f>
        <v>(COONa)2</v>
      </c>
      <c r="E102" s="106">
        <f>IFERROR(VLOOKUP(B102,'Spesifikasi Bahan'!$A$2:$E$10074,5,FALSE),"")</f>
        <v>500</v>
      </c>
      <c r="F102" s="106" t="str">
        <f>IFERROR(VLOOKUP(B102,'Spesifikasi Bahan'!$A$2:$F$10074,6,FALSE),"")</f>
        <v>gram </v>
      </c>
      <c r="G102" s="106">
        <f>IFERROR(VLOOKUP(B102,'Spesifikasi Bahan'!$A$2:$G$10074,7,FALSE),"")</f>
        <v>250</v>
      </c>
      <c r="H102" s="107">
        <f t="shared" si="1"/>
        <v>497.7276</v>
      </c>
      <c r="I102" s="107">
        <f>SUMIF('Form Responses Incoming'!$C$2:$C$10131,B102,'Form Responses Incoming'!$D$2:D10228)</f>
        <v>500</v>
      </c>
      <c r="J102" s="107">
        <f>SUMIF('Form Responses Usage'!$C$2:$C$11115,B102,'Form Responses Usage'!$D$2:$D$11115)</f>
        <v>2.2724</v>
      </c>
      <c r="K102" s="108" t="str">
        <f t="shared" si="2"/>
        <v>OK</v>
      </c>
      <c r="L102" s="109" t="str">
        <f>IFERROR(VLOOKUP(B102,'Spesifikasi Bahan'!$A$2:$D$10074,4,FALSE),"")</f>
        <v>A-2097 - Smartlab</v>
      </c>
      <c r="M102" s="110"/>
      <c r="N102" s="104" t="e">
        <v>#N/A</v>
      </c>
    </row>
    <row r="103">
      <c r="A103" s="104">
        <v>82.0</v>
      </c>
      <c r="B103" s="105" t="s">
        <v>401</v>
      </c>
      <c r="C103" s="106" t="str">
        <f>IFERROR(VLOOKUP(B103,'Spesifikasi Bahan'!$A$2:$B$10074,2,FALSE),"")</f>
        <v>Sodium Thiosulpahte Anhydrous</v>
      </c>
      <c r="D103" s="106" t="str">
        <f>IFERROR(VLOOKUP(B103,'Spesifikasi Bahan'!$A$2:$C$10074,3,FALSE),"")</f>
        <v>Na2S2O3</v>
      </c>
      <c r="E103" s="106">
        <f>IFERROR(VLOOKUP(B103,'Spesifikasi Bahan'!$A$2:$E$10074,5,FALSE),"")</f>
        <v>1000</v>
      </c>
      <c r="F103" s="106" t="str">
        <f>IFERROR(VLOOKUP(B103,'Spesifikasi Bahan'!$A$2:$F$10074,6,FALSE),"")</f>
        <v>gram</v>
      </c>
      <c r="G103" s="106">
        <f>IFERROR(VLOOKUP(B103,'Spesifikasi Bahan'!$A$2:$G$10074,7,FALSE),"")</f>
        <v>250</v>
      </c>
      <c r="H103" s="107">
        <f t="shared" si="1"/>
        <v>1000</v>
      </c>
      <c r="I103" s="107">
        <f>SUMIF('Form Responses Incoming'!$C$2:$C$10131,B103,'Form Responses Incoming'!$D$2:D10229)</f>
        <v>1000</v>
      </c>
      <c r="J103" s="107">
        <f>SUMIF('Form Responses Usage'!$C$2:$C$11115,B103,'Form Responses Usage'!$D$2:$D$11115)</f>
        <v>0</v>
      </c>
      <c r="K103" s="108" t="str">
        <f t="shared" si="2"/>
        <v>OK</v>
      </c>
      <c r="L103" s="109" t="str">
        <f>IFERROR(VLOOKUP(B103,'Spesifikasi Bahan'!$A$2:$D$10074,4,FALSE),"")</f>
        <v>A-3268 - Smartlab</v>
      </c>
      <c r="M103" s="110"/>
      <c r="N103" s="104" t="e">
        <v>#N/A</v>
      </c>
    </row>
    <row r="104">
      <c r="A104" s="104">
        <v>82.0</v>
      </c>
      <c r="B104" s="105" t="s">
        <v>407</v>
      </c>
      <c r="C104" s="106" t="str">
        <f>IFERROR(VLOOKUP(B104,'Spesifikasi Bahan'!$A$2:$B$10074,2,FALSE),"")</f>
        <v>Sodium Dihydrogen Orthopospate Monohydrate</v>
      </c>
      <c r="D104" s="106" t="str">
        <f>IFERROR(VLOOKUP(B104,'Spesifikasi Bahan'!$A$2:$C$10074,3,FALSE),"")</f>
        <v>NaH2PO4.H2O</v>
      </c>
      <c r="E104" s="106">
        <f>IFERROR(VLOOKUP(B104,'Spesifikasi Bahan'!$A$2:$E$10074,5,FALSE),"")</f>
        <v>1000</v>
      </c>
      <c r="F104" s="106" t="str">
        <f>IFERROR(VLOOKUP(B104,'Spesifikasi Bahan'!$A$2:$F$10074,6,FALSE),"")</f>
        <v>gram</v>
      </c>
      <c r="G104" s="106">
        <f>IFERROR(VLOOKUP(B104,'Spesifikasi Bahan'!$A$2:$G$10074,7,FALSE),"")</f>
        <v>250</v>
      </c>
      <c r="H104" s="107">
        <f t="shared" si="1"/>
        <v>832.3</v>
      </c>
      <c r="I104" s="107">
        <f>SUMIF('Form Responses Incoming'!$C$2:$C$10131,B104,'Form Responses Incoming'!$D$2:D10230)</f>
        <v>1000</v>
      </c>
      <c r="J104" s="107">
        <f>SUMIF('Form Responses Usage'!$C$2:$C$11115,B104,'Form Responses Usage'!$D$2:$D$11115)</f>
        <v>167.7</v>
      </c>
      <c r="K104" s="108" t="str">
        <f t="shared" si="2"/>
        <v>OK</v>
      </c>
      <c r="L104" s="109" t="str">
        <f>IFERROR(VLOOKUP(B104,'Spesifikasi Bahan'!$A$2:$D$10074,4,FALSE),"")</f>
        <v>A-2370 - Smartlab</v>
      </c>
      <c r="M104" s="110"/>
      <c r="N104" s="104" t="e">
        <v>#N/A</v>
      </c>
    </row>
    <row r="105">
      <c r="A105" s="104">
        <v>82.0</v>
      </c>
      <c r="B105" s="105" t="s">
        <v>413</v>
      </c>
      <c r="C105" s="106" t="str">
        <f>IFERROR(VLOOKUP(B105,'Spesifikasi Bahan'!$A$2:$B$10074,2,FALSE),"")</f>
        <v>Chloramine T Trihydrate 99%</v>
      </c>
      <c r="D105" s="106" t="str">
        <f>IFERROR(VLOOKUP(B105,'Spesifikasi Bahan'!$A$2:$C$10074,3,FALSE),"")</f>
        <v>C7H7CINNaO2S.3H2O</v>
      </c>
      <c r="E105" s="106">
        <f>IFERROR(VLOOKUP(B105,'Spesifikasi Bahan'!$A$2:$E$10074,5,FALSE),"")</f>
        <v>250</v>
      </c>
      <c r="F105" s="106" t="str">
        <f>IFERROR(VLOOKUP(B105,'Spesifikasi Bahan'!$A$2:$F$10074,6,FALSE),"")</f>
        <v>gram</v>
      </c>
      <c r="G105" s="106">
        <f>IFERROR(VLOOKUP(B105,'Spesifikasi Bahan'!$A$2:$G$10074,7,FALSE),"")</f>
        <v>100</v>
      </c>
      <c r="H105" s="107">
        <f t="shared" si="1"/>
        <v>242.4879</v>
      </c>
      <c r="I105" s="107">
        <f>SUMIF('Form Responses Incoming'!$C$2:$C$10131,B105,'Form Responses Incoming'!$D$2:D10231)</f>
        <v>250</v>
      </c>
      <c r="J105" s="107">
        <f>SUMIF('Form Responses Usage'!$C$2:$C$11115,B105,'Form Responses Usage'!$D$2:$D$11115)</f>
        <v>7.5121</v>
      </c>
      <c r="K105" s="108" t="str">
        <f t="shared" si="2"/>
        <v>OK</v>
      </c>
      <c r="L105" s="109" t="str">
        <f>IFERROR(VLOOKUP(B105,'Spesifikasi Bahan'!$A$2:$D$10074,4,FALSE),"")</f>
        <v>02700 - LobaChemie</v>
      </c>
      <c r="M105" s="110"/>
      <c r="N105" s="104" t="e">
        <v>#N/A</v>
      </c>
    </row>
    <row r="106">
      <c r="A106" s="104">
        <v>82.0</v>
      </c>
      <c r="B106" s="105" t="s">
        <v>420</v>
      </c>
      <c r="C106" s="106" t="str">
        <f>IFERROR(VLOOKUP(B106,'Spesifikasi Bahan'!$A$2:$B$10074,2,FALSE),"")</f>
        <v>Sodium Bisulphite </v>
      </c>
      <c r="D106" s="106" t="str">
        <f>IFERROR(VLOOKUP(B106,'Spesifikasi Bahan'!$A$2:$C$10074,3,FALSE),"")</f>
        <v>NaHSO3</v>
      </c>
      <c r="E106" s="106">
        <f>IFERROR(VLOOKUP(B106,'Spesifikasi Bahan'!$A$2:$E$10074,5,FALSE),"")</f>
        <v>500</v>
      </c>
      <c r="F106" s="106" t="str">
        <f>IFERROR(VLOOKUP(B106,'Spesifikasi Bahan'!$A$2:$F$10074,6,FALSE),"")</f>
        <v>gram</v>
      </c>
      <c r="G106" s="106">
        <f>IFERROR(VLOOKUP(B106,'Spesifikasi Bahan'!$A$2:$G$10074,7,FALSE),"")</f>
        <v>250</v>
      </c>
      <c r="H106" s="107">
        <f t="shared" si="1"/>
        <v>489.497</v>
      </c>
      <c r="I106" s="107">
        <f>SUMIF('Form Responses Incoming'!$C$2:$C$10131,B106,'Form Responses Incoming'!$D$2:D10232)</f>
        <v>500</v>
      </c>
      <c r="J106" s="107">
        <f>SUMIF('Form Responses Usage'!$C$2:$C$11115,B106,'Form Responses Usage'!$D$2:$D$11115)</f>
        <v>10.503</v>
      </c>
      <c r="K106" s="108" t="str">
        <f t="shared" si="2"/>
        <v>OK</v>
      </c>
      <c r="L106" s="109" t="str">
        <f>IFERROR(VLOOKUP(B106,'Spesifikasi Bahan'!$A$2:$D$10074,4,FALSE),"")</f>
        <v>05799 - LobaChemie</v>
      </c>
      <c r="M106" s="110"/>
      <c r="N106" s="104" t="e">
        <v>#N/A</v>
      </c>
    </row>
    <row r="107">
      <c r="A107" s="104">
        <v>82.0</v>
      </c>
      <c r="B107" s="105" t="s">
        <v>427</v>
      </c>
      <c r="C107" s="106" t="str">
        <f>IFERROR(VLOOKUP(B107,'Spesifikasi Bahan'!$A$2:$B$10074,2,FALSE),"")</f>
        <v>Zinc Acetate Dihydrate 99.5%</v>
      </c>
      <c r="D107" s="106" t="str">
        <f>IFERROR(VLOOKUP(B107,'Spesifikasi Bahan'!$A$2:$C$10074,3,FALSE),"")</f>
        <v>(CH3.COO)2Zn.2H2O</v>
      </c>
      <c r="E107" s="106">
        <f>IFERROR(VLOOKUP(B107,'Spesifikasi Bahan'!$A$2:$E$10074,5,FALSE),"")</f>
        <v>500</v>
      </c>
      <c r="F107" s="106" t="str">
        <f>IFERROR(VLOOKUP(B107,'Spesifikasi Bahan'!$A$2:$F$10074,6,FALSE),"")</f>
        <v>gram</v>
      </c>
      <c r="G107" s="106">
        <f>IFERROR(VLOOKUP(B107,'Spesifikasi Bahan'!$A$2:$G$10074,7,FALSE),"")</f>
        <v>250</v>
      </c>
      <c r="H107" s="107">
        <f t="shared" si="1"/>
        <v>600</v>
      </c>
      <c r="I107" s="107">
        <f>SUMIF('Form Responses Incoming'!$C$2:$C$10131,B107,'Form Responses Incoming'!$D$2:D10233)</f>
        <v>600</v>
      </c>
      <c r="J107" s="107">
        <f>SUMIF('Form Responses Usage'!$C$2:$C$11115,B107,'Form Responses Usage'!$D$2:$D$11115)</f>
        <v>0</v>
      </c>
      <c r="K107" s="108" t="str">
        <f t="shared" si="2"/>
        <v>OK</v>
      </c>
      <c r="L107" s="109" t="str">
        <f>IFERROR(VLOOKUP(B107,'Spesifikasi Bahan'!$A$2:$D$10074,4,FALSE),"")</f>
        <v>06541 - LobaChemie</v>
      </c>
      <c r="M107" s="110"/>
      <c r="N107" s="104" t="e">
        <v>#N/A</v>
      </c>
    </row>
    <row r="108">
      <c r="A108" s="104">
        <v>82.0</v>
      </c>
      <c r="B108" s="105" t="s">
        <v>433</v>
      </c>
      <c r="C108" s="106" t="str">
        <f>IFERROR(VLOOKUP(B108,'Spesifikasi Bahan'!$A$2:$B$10074,2,FALSE),"")</f>
        <v>N,N-Dimethyl-1,4-phenylenediamine oxalate</v>
      </c>
      <c r="D108" s="106" t="str">
        <f>IFERROR(VLOOKUP(B108,'Spesifikasi Bahan'!$A$2:$C$10074,3,FALSE),"")</f>
        <v>[(CH3)2NC6H4NH2]2·H2C2O4</v>
      </c>
      <c r="E108" s="106">
        <f>IFERROR(VLOOKUP(B108,'Spesifikasi Bahan'!$A$2:$E$10074,5,FALSE),"")</f>
        <v>25</v>
      </c>
      <c r="F108" s="106" t="str">
        <f>IFERROR(VLOOKUP(B108,'Spesifikasi Bahan'!$A$2:$F$10074,6,FALSE),"")</f>
        <v>gram</v>
      </c>
      <c r="G108" s="106">
        <f>IFERROR(VLOOKUP(B108,'Spesifikasi Bahan'!$A$2:$G$10074,7,FALSE),"")</f>
        <v>10</v>
      </c>
      <c r="H108" s="107">
        <f t="shared" si="1"/>
        <v>7.34</v>
      </c>
      <c r="I108" s="107">
        <f>SUMIF('Form Responses Incoming'!$C$2:$C$10131,B108,'Form Responses Incoming'!$D$2:D10234)</f>
        <v>25</v>
      </c>
      <c r="J108" s="107">
        <f>SUMIF('Form Responses Usage'!$C$2:$C$11115,B108,'Form Responses Usage'!$D$2:$D$11115)</f>
        <v>17.66</v>
      </c>
      <c r="K108" s="108" t="str">
        <f t="shared" si="2"/>
        <v>Limited Stock</v>
      </c>
      <c r="L108" s="109" t="str">
        <f>IFERROR(VLOOKUP(B108,'Spesifikasi Bahan'!$A$2:$D$10074,4,FALSE),"")</f>
        <v>4.09758.025 SigmaAldrich</v>
      </c>
      <c r="M108" s="110"/>
      <c r="N108" s="104" t="e">
        <v>#N/A</v>
      </c>
    </row>
    <row r="109">
      <c r="A109" s="104">
        <v>82.0</v>
      </c>
      <c r="B109" s="105" t="s">
        <v>914</v>
      </c>
      <c r="C109" s="106" t="str">
        <f>IFERROR(VLOOKUP(B109,'Spesifikasi Bahan'!$A$2:$B$10074,2,FALSE),"")</f>
        <v>Ammonia Solution </v>
      </c>
      <c r="D109" s="106" t="str">
        <f>IFERROR(VLOOKUP(B109,'Spesifikasi Bahan'!$A$2:$C$10074,3,FALSE),"")</f>
        <v>NH4OH</v>
      </c>
      <c r="E109" s="106">
        <f>IFERROR(VLOOKUP(B109,'Spesifikasi Bahan'!$A$2:$E$10074,5,FALSE),"")</f>
        <v>2500</v>
      </c>
      <c r="F109" s="106" t="str">
        <f>IFERROR(VLOOKUP(B109,'Spesifikasi Bahan'!$A$2:$F$10074,6,FALSE),"")</f>
        <v>mL</v>
      </c>
      <c r="G109" s="106">
        <f>IFERROR(VLOOKUP(B109,'Spesifikasi Bahan'!$A$2:$G$10074,7,FALSE),"")</f>
        <v>1000</v>
      </c>
      <c r="H109" s="107">
        <f t="shared" si="1"/>
        <v>2465</v>
      </c>
      <c r="I109" s="107">
        <f>SUMIF('Form Responses Incoming'!$C$2:$C$10131,B109,'Form Responses Incoming'!$D$2:D10235)</f>
        <v>2500</v>
      </c>
      <c r="J109" s="107">
        <f>SUMIF('Form Responses Usage'!$C$2:$C$11115,B109,'Form Responses Usage'!$D$2:$D$11115)</f>
        <v>35</v>
      </c>
      <c r="K109" s="108" t="str">
        <f t="shared" si="2"/>
        <v>OK</v>
      </c>
      <c r="L109" s="109" t="str">
        <f>IFERROR(VLOOKUP(B109,'Spesifikasi Bahan'!$A$2:$D$10074,4,FALSE),"")</f>
        <v>00027- LobaChemie</v>
      </c>
      <c r="M109" s="110"/>
      <c r="N109" s="104" t="e">
        <v>#N/A</v>
      </c>
    </row>
    <row r="110">
      <c r="A110" s="104">
        <v>82.0</v>
      </c>
      <c r="B110" s="105" t="s">
        <v>920</v>
      </c>
      <c r="C110" s="106" t="str">
        <f>IFERROR(VLOOKUP(B110,'Spesifikasi Bahan'!$A$2:$B$10074,2,FALSE),"")</f>
        <v>Hydrogen Peroxide Solution 30%</v>
      </c>
      <c r="D110" s="106" t="str">
        <f>IFERROR(VLOOKUP(B110,'Spesifikasi Bahan'!$A$2:$C$10074,3,FALSE),"")</f>
        <v>H2O2</v>
      </c>
      <c r="E110" s="106">
        <f>IFERROR(VLOOKUP(B110,'Spesifikasi Bahan'!$A$2:$E$10074,5,FALSE),"")</f>
        <v>500</v>
      </c>
      <c r="F110" s="106" t="str">
        <f>IFERROR(VLOOKUP(B110,'Spesifikasi Bahan'!$A$2:$F$10074,6,FALSE),"")</f>
        <v>mL</v>
      </c>
      <c r="G110" s="106">
        <f>IFERROR(VLOOKUP(B110,'Spesifikasi Bahan'!$A$2:$G$10074,7,FALSE),"")</f>
        <v>100</v>
      </c>
      <c r="H110" s="107">
        <f t="shared" si="1"/>
        <v>831.5</v>
      </c>
      <c r="I110" s="107">
        <f>SUMIF('Form Responses Incoming'!$C$2:$C$10131,B110,'Form Responses Incoming'!$D$2:D10236)</f>
        <v>1500</v>
      </c>
      <c r="J110" s="107">
        <f>SUMIF('Form Responses Usage'!$C$2:$C$11115,B110,'Form Responses Usage'!$D$2:$D$11115)</f>
        <v>668.5</v>
      </c>
      <c r="K110" s="108" t="str">
        <f t="shared" si="2"/>
        <v>OK</v>
      </c>
      <c r="L110" s="109" t="str">
        <f>IFERROR(VLOOKUP(B110,'Spesifikasi Bahan'!$A$2:$D$10074,4,FALSE),"")</f>
        <v>A-1052 - Smartlab</v>
      </c>
      <c r="M110" s="110"/>
      <c r="N110" s="104" t="e">
        <v>#N/A</v>
      </c>
    </row>
    <row r="111">
      <c r="A111" s="104">
        <v>82.0</v>
      </c>
      <c r="B111" s="105" t="s">
        <v>927</v>
      </c>
      <c r="C111" s="106" t="str">
        <f>IFERROR(VLOOKUP(B111,'Spesifikasi Bahan'!$A$2:$B$10074,2,FALSE),"")</f>
        <v>2-Propanol </v>
      </c>
      <c r="D111" s="106" t="str">
        <f>IFERROR(VLOOKUP(B111,'Spesifikasi Bahan'!$A$2:$C$10074,3,FALSE),"")</f>
        <v>CH3CH(OH)CH3</v>
      </c>
      <c r="E111" s="106">
        <f>IFERROR(VLOOKUP(B111,'Spesifikasi Bahan'!$A$2:$E$10074,5,FALSE),"")</f>
        <v>1000</v>
      </c>
      <c r="F111" s="106" t="str">
        <f>IFERROR(VLOOKUP(B111,'Spesifikasi Bahan'!$A$2:$F$10074,6,FALSE),"")</f>
        <v>mL</v>
      </c>
      <c r="G111" s="106">
        <f>IFERROR(VLOOKUP(B111,'Spesifikasi Bahan'!$A$2:$G$10074,7,FALSE),"")</f>
        <v>100</v>
      </c>
      <c r="H111" s="107">
        <f t="shared" si="1"/>
        <v>999</v>
      </c>
      <c r="I111" s="107">
        <f>SUMIF('Form Responses Incoming'!$C$2:$C$10131,B111,'Form Responses Incoming'!$D$2:D10237)</f>
        <v>1000</v>
      </c>
      <c r="J111" s="107">
        <f>SUMIF('Form Responses Usage'!$C$2:$C$11115,B111,'Form Responses Usage'!$D$2:$D$11115)</f>
        <v>1</v>
      </c>
      <c r="K111" s="108" t="str">
        <f t="shared" si="2"/>
        <v>OK</v>
      </c>
      <c r="L111" s="109" t="str">
        <f>IFERROR(VLOOKUP(B111,'Spesifikasi Bahan'!$A$2:$D$10074,4,FALSE),"")</f>
        <v>1.09634.1000 - SigmaAldrich </v>
      </c>
      <c r="M111" s="110"/>
      <c r="N111" s="104" t="e">
        <v>#N/A</v>
      </c>
    </row>
    <row r="112">
      <c r="A112" s="104">
        <v>82.0</v>
      </c>
      <c r="B112" s="105" t="s">
        <v>438</v>
      </c>
      <c r="C112" s="106" t="str">
        <f>IFERROR(VLOOKUP(B112,'Spesifikasi Bahan'!$A$2:$B$10074,2,FALSE),"")</f>
        <v>Iodine </v>
      </c>
      <c r="D112" s="106" t="str">
        <f>IFERROR(VLOOKUP(B112,'Spesifikasi Bahan'!$A$2:$C$10074,3,FALSE),"")</f>
        <v>I2</v>
      </c>
      <c r="E112" s="106">
        <f>IFERROR(VLOOKUP(B112,'Spesifikasi Bahan'!$A$2:$E$10074,5,FALSE),"")</f>
        <v>100</v>
      </c>
      <c r="F112" s="106" t="str">
        <f>IFERROR(VLOOKUP(B112,'Spesifikasi Bahan'!$A$2:$F$10074,6,FALSE),"")</f>
        <v>gram</v>
      </c>
      <c r="G112" s="106">
        <f>IFERROR(VLOOKUP(B112,'Spesifikasi Bahan'!$A$2:$G$10074,7,FALSE),"")</f>
        <v>50</v>
      </c>
      <c r="H112" s="107">
        <f t="shared" si="1"/>
        <v>91.9424</v>
      </c>
      <c r="I112" s="107">
        <f>SUMIF('Form Responses Incoming'!$C$2:$C$10131,B112,'Form Responses Incoming'!$D$2:D10238)</f>
        <v>100</v>
      </c>
      <c r="J112" s="107">
        <f>SUMIF('Form Responses Usage'!$C$2:$C$11115,B112,'Form Responses Usage'!$D$2:$D$11115)</f>
        <v>8.0576</v>
      </c>
      <c r="K112" s="108" t="str">
        <f t="shared" si="2"/>
        <v>OK</v>
      </c>
      <c r="L112" s="109" t="str">
        <f>IFERROR(VLOOKUP(B112,'Spesifikasi Bahan'!$A$2:$D$10074,4,FALSE),"")</f>
        <v>2.07772.0100 - SigmaAldrich</v>
      </c>
      <c r="M112" s="110"/>
      <c r="N112" s="104" t="e">
        <v>#N/A</v>
      </c>
    </row>
    <row r="113">
      <c r="A113" s="104">
        <v>82.0</v>
      </c>
      <c r="B113" s="105" t="s">
        <v>445</v>
      </c>
      <c r="C113" s="106" t="str">
        <f>IFERROR(VLOOKUP(B113,'Spesifikasi Bahan'!$A$2:$B$10074,2,FALSE),"")</f>
        <v>Ammonium Phospahte dibasic</v>
      </c>
      <c r="D113" s="106" t="str">
        <f>IFERROR(VLOOKUP(B113,'Spesifikasi Bahan'!$A$2:$C$10074,3,FALSE),"")</f>
        <v>H9N2O4P</v>
      </c>
      <c r="E113" s="106">
        <f>IFERROR(VLOOKUP(B113,'Spesifikasi Bahan'!$A$2:$E$10074,5,FALSE),"")</f>
        <v>500</v>
      </c>
      <c r="F113" s="106" t="str">
        <f>IFERROR(VLOOKUP(B113,'Spesifikasi Bahan'!$A$2:$F$10074,6,FALSE),"")</f>
        <v>gram</v>
      </c>
      <c r="G113" s="106">
        <f>IFERROR(VLOOKUP(B113,'Spesifikasi Bahan'!$A$2:$G$10074,7,FALSE),"")</f>
        <v>50</v>
      </c>
      <c r="H113" s="107">
        <f t="shared" si="1"/>
        <v>500</v>
      </c>
      <c r="I113" s="107">
        <f>SUMIF('Form Responses Incoming'!$C$2:$C$10131,B113,'Form Responses Incoming'!$D$2:D10239)</f>
        <v>500</v>
      </c>
      <c r="J113" s="107">
        <f>SUMIF('Form Responses Usage'!$C$2:$C$11115,B113,'Form Responses Usage'!$D$2:$D$11115)</f>
        <v>0</v>
      </c>
      <c r="K113" s="108" t="str">
        <f t="shared" si="2"/>
        <v>OK</v>
      </c>
      <c r="L113" s="109" t="str">
        <f>IFERROR(VLOOKUP(B113,'Spesifikasi Bahan'!$A$2:$D$10074,4,FALSE),"")</f>
        <v>1003721150 - SigmaAldrich</v>
      </c>
      <c r="M113" s="110"/>
      <c r="N113" s="104" t="e">
        <v>#N/A</v>
      </c>
    </row>
    <row r="114">
      <c r="A114" s="104">
        <v>82.0</v>
      </c>
      <c r="B114" s="105" t="s">
        <v>452</v>
      </c>
      <c r="C114" s="106" t="str">
        <f>IFERROR(VLOOKUP(B114,'Spesifikasi Bahan'!$A$2:$B$10074,2,FALSE),"")</f>
        <v>Iron (III) chloride</v>
      </c>
      <c r="D114" s="106" t="str">
        <f>IFERROR(VLOOKUP(B114,'Spesifikasi Bahan'!$A$2:$C$10074,3,FALSE),"")</f>
        <v>FeCl3</v>
      </c>
      <c r="E114" s="106">
        <f>IFERROR(VLOOKUP(B114,'Spesifikasi Bahan'!$A$2:$E$10074,5,FALSE),"")</f>
        <v>100</v>
      </c>
      <c r="F114" s="106" t="str">
        <f>IFERROR(VLOOKUP(B114,'Spesifikasi Bahan'!$A$2:$F$10074,6,FALSE),"")</f>
        <v>gram</v>
      </c>
      <c r="G114" s="106">
        <f>IFERROR(VLOOKUP(B114,'Spesifikasi Bahan'!$A$2:$G$10074,7,FALSE),"")</f>
        <v>50</v>
      </c>
      <c r="H114" s="107">
        <f t="shared" si="1"/>
        <v>100</v>
      </c>
      <c r="I114" s="107">
        <f>SUMIF('Form Responses Incoming'!$C$2:$C$10131,B114,'Form Responses Incoming'!$D$2:D10240)</f>
        <v>100</v>
      </c>
      <c r="J114" s="107">
        <f>SUMIF('Form Responses Usage'!$C$2:$C$11115,B114,'Form Responses Usage'!$D$2:$D$11115)</f>
        <v>0</v>
      </c>
      <c r="K114" s="108" t="str">
        <f t="shared" si="2"/>
        <v>OK</v>
      </c>
      <c r="L114" s="109" t="str">
        <f>IFERROR(VLOOKUP(B114,'Spesifikasi Bahan'!$A$2:$D$10074,4,FALSE),"")</f>
        <v>1.57740.100 - SigmaAldrich </v>
      </c>
      <c r="M114" s="110"/>
      <c r="N114" s="104" t="e">
        <v>#N/A</v>
      </c>
    </row>
    <row r="115">
      <c r="A115" s="104">
        <v>82.0</v>
      </c>
      <c r="B115" s="105" t="s">
        <v>458</v>
      </c>
      <c r="C115" s="106" t="str">
        <f>IFERROR(VLOOKUP(B115,'Spesifikasi Bahan'!$A$2:$B$10074,2,FALSE),"")</f>
        <v>N-Allylthiourea</v>
      </c>
      <c r="D115" s="106" t="str">
        <f>IFERROR(VLOOKUP(B115,'Spesifikasi Bahan'!$A$2:$C$10074,3,FALSE),"")</f>
        <v>C4H8N2S</v>
      </c>
      <c r="E115" s="106">
        <f>IFERROR(VLOOKUP(B115,'Spesifikasi Bahan'!$A$2:$E$10074,5,FALSE),"")</f>
        <v>50</v>
      </c>
      <c r="F115" s="106" t="str">
        <f>IFERROR(VLOOKUP(B115,'Spesifikasi Bahan'!$A$2:$F$10074,6,FALSE),"")</f>
        <v>gram</v>
      </c>
      <c r="G115" s="106">
        <f>IFERROR(VLOOKUP(B115,'Spesifikasi Bahan'!$A$2:$G$10074,7,FALSE),"")</f>
        <v>10</v>
      </c>
      <c r="H115" s="107">
        <f t="shared" si="1"/>
        <v>40</v>
      </c>
      <c r="I115" s="107">
        <f>SUMIF('Form Responses Incoming'!$C$2:$C$10131,B115,'Form Responses Incoming'!$D$2:D10241)</f>
        <v>50</v>
      </c>
      <c r="J115" s="107">
        <f>SUMIF('Form Responses Usage'!$C$2:$C$11115,B115,'Form Responses Usage'!$D$2:$D$11115)</f>
        <v>10</v>
      </c>
      <c r="K115" s="108" t="str">
        <f t="shared" si="2"/>
        <v>OK</v>
      </c>
      <c r="L115" s="109" t="str">
        <f>IFERROR(VLOOKUP(B115,'Spesifikasi Bahan'!$A$2:$D$10074,4,FALSE),"")</f>
        <v>1.08804.050 - SigmaAldrich </v>
      </c>
      <c r="M115" s="110"/>
      <c r="N115" s="104" t="e">
        <v>#N/A</v>
      </c>
    </row>
    <row r="116">
      <c r="A116" s="104">
        <v>82.0</v>
      </c>
      <c r="B116" s="105" t="s">
        <v>464</v>
      </c>
      <c r="C116" s="106" t="str">
        <f>IFERROR(VLOOKUP(B116,'Spesifikasi Bahan'!$A$2:$B$10074,2,FALSE),"")</f>
        <v>Sodium Borohydride</v>
      </c>
      <c r="D116" s="106" t="str">
        <f>IFERROR(VLOOKUP(B116,'Spesifikasi Bahan'!$A$2:$C$10074,3,FALSE),"")</f>
        <v>H4BNa</v>
      </c>
      <c r="E116" s="106">
        <f>IFERROR(VLOOKUP(B116,'Spesifikasi Bahan'!$A$2:$E$10074,5,FALSE),"")</f>
        <v>500</v>
      </c>
      <c r="F116" s="106" t="str">
        <f>IFERROR(VLOOKUP(B116,'Spesifikasi Bahan'!$A$2:$F$10074,6,FALSE),"")</f>
        <v>gram</v>
      </c>
      <c r="G116" s="106">
        <f>IFERROR(VLOOKUP(B116,'Spesifikasi Bahan'!$A$2:$G$10074,7,FALSE),"")</f>
        <v>100</v>
      </c>
      <c r="H116" s="107">
        <f t="shared" si="1"/>
        <v>537.0279</v>
      </c>
      <c r="I116" s="107">
        <f>SUMIF('Form Responses Incoming'!$C$2:$C$10131,B116,'Form Responses Incoming'!$D$2:D10242)</f>
        <v>1000</v>
      </c>
      <c r="J116" s="107">
        <f>SUMIF('Form Responses Usage'!$C$2:$C$11115,B116,'Form Responses Usage'!$D$2:$D$11115)</f>
        <v>462.9721</v>
      </c>
      <c r="K116" s="108" t="str">
        <f t="shared" si="2"/>
        <v>OK</v>
      </c>
      <c r="L116" s="109" t="str">
        <f>IFERROR(VLOOKUP(B116,'Spesifikasi Bahan'!$A$2:$D$10074,4,FALSE),"")</f>
        <v>4.52882.0500 - SigmaAldrich</v>
      </c>
      <c r="M116" s="110"/>
      <c r="N116" s="104" t="e">
        <v>#N/A</v>
      </c>
    </row>
    <row r="117">
      <c r="A117" s="104">
        <v>82.0</v>
      </c>
      <c r="B117" s="105" t="s">
        <v>470</v>
      </c>
      <c r="C117" s="106" t="str">
        <f>IFERROR(VLOOKUP(B117,'Spesifikasi Bahan'!$A$2:$B$10074,2,FALSE),"")</f>
        <v>Tryptic soy agar Casein-peptone soymealpeptone agar</v>
      </c>
      <c r="D117" s="19" t="s">
        <v>20</v>
      </c>
      <c r="E117" s="19">
        <v>500.0</v>
      </c>
      <c r="F117" s="19" t="s">
        <v>14</v>
      </c>
      <c r="G117" s="19">
        <v>100.0</v>
      </c>
      <c r="H117" s="107">
        <v>500.0</v>
      </c>
      <c r="I117" s="107">
        <f>SUMIF('Form Responses Incoming'!$C$2:$C$10131,B117,'Form Responses Incoming'!$D$2:D10243)</f>
        <v>500</v>
      </c>
      <c r="J117" s="107">
        <f>SUMIF('Form Responses Usage'!$C$2:$C$11115,B117,'Form Responses Usage'!$D$2:$D$11115)</f>
        <v>124.759</v>
      </c>
      <c r="K117" s="108" t="str">
        <f t="shared" si="2"/>
        <v>OK</v>
      </c>
      <c r="L117" s="109" t="str">
        <f>IFERROR(VLOOKUP(B117,'Spesifikasi Bahan'!$A$2:$D$10074,4,FALSE),"")</f>
        <v>1.05458.0500 - Millipore</v>
      </c>
      <c r="M117" s="110"/>
      <c r="N117" s="104" t="e">
        <v>#N/A</v>
      </c>
    </row>
    <row r="118">
      <c r="A118" s="104">
        <v>82.0</v>
      </c>
      <c r="B118" s="105" t="s">
        <v>476</v>
      </c>
      <c r="C118" s="106" t="str">
        <f>IFERROR(VLOOKUP(B118,'Spesifikasi Bahan'!$A$2:$B$10074,2,FALSE),"")</f>
        <v>Peptone water (buffered)</v>
      </c>
      <c r="D118" s="19" t="s">
        <v>20</v>
      </c>
      <c r="E118" s="19">
        <v>500.0</v>
      </c>
      <c r="F118" s="19" t="s">
        <v>14</v>
      </c>
      <c r="G118" s="19">
        <v>100.0</v>
      </c>
      <c r="H118" s="107">
        <v>500.0</v>
      </c>
      <c r="I118" s="107">
        <f>SUMIF('Form Responses Incoming'!$C$2:$C$10131,B118,'Form Responses Incoming'!$D$2:D10244)</f>
        <v>500</v>
      </c>
      <c r="J118" s="107">
        <f>SUMIF('Form Responses Usage'!$C$2:$C$11115,B118,'Form Responses Usage'!$D$2:$D$11115)</f>
        <v>25.574</v>
      </c>
      <c r="K118" s="108" t="str">
        <f t="shared" si="2"/>
        <v>OK</v>
      </c>
      <c r="L118" s="109" t="str">
        <f>IFERROR(VLOOKUP(B118,'Spesifikasi Bahan'!$A$2:$D$10074,4,FALSE),"")</f>
        <v>1.07228.0500 - Millipore</v>
      </c>
      <c r="M118" s="110"/>
      <c r="N118" s="104" t="e">
        <v>#N/A</v>
      </c>
    </row>
    <row r="119">
      <c r="A119" s="104">
        <v>82.0</v>
      </c>
      <c r="B119" s="105" t="s">
        <v>482</v>
      </c>
      <c r="C119" s="106" t="str">
        <f>IFERROR(VLOOKUP(B119,'Spesifikasi Bahan'!$A$2:$B$10074,2,FALSE),"")</f>
        <v>Potassium Cyanide 97%</v>
      </c>
      <c r="D119" s="106" t="str">
        <f>IFERROR(VLOOKUP(B119,'Spesifikasi Bahan'!$A$2:$C$10074,3,FALSE),"")</f>
        <v>KCN</v>
      </c>
      <c r="E119" s="106">
        <f>IFERROR(VLOOKUP(B119,'Spesifikasi Bahan'!$A$2:$E$10074,5,FALSE),"")</f>
        <v>100</v>
      </c>
      <c r="F119" s="106" t="str">
        <f>IFERROR(VLOOKUP(B119,'Spesifikasi Bahan'!$A$2:$F$10074,6,FALSE),"")</f>
        <v>gram</v>
      </c>
      <c r="G119" s="106">
        <f>IFERROR(VLOOKUP(B119,'Spesifikasi Bahan'!$A$2:$G$10074,7,FALSE),"")</f>
        <v>10</v>
      </c>
      <c r="H119" s="107">
        <f t="shared" ref="H119:H205" si="3">I119-J119</f>
        <v>99.749</v>
      </c>
      <c r="I119" s="107">
        <f>SUMIF('Form Responses Incoming'!$C$2:$C$10131,B119,'Form Responses Incoming'!$D$2:D10245)</f>
        <v>100</v>
      </c>
      <c r="J119" s="107">
        <f>SUMIF('Form Responses Usage'!$C$2:$C$11115,B119,'Form Responses Usage'!$D$2:$D$11115)</f>
        <v>0.251</v>
      </c>
      <c r="K119" s="108" t="str">
        <f t="shared" si="2"/>
        <v>OK</v>
      </c>
      <c r="L119" s="109" t="str">
        <f>IFERROR(VLOOKUP(B119,'Spesifikasi Bahan'!$A$2:$D$10074,4,FALSE),"")</f>
        <v>05352 - LobaChemie</v>
      </c>
      <c r="M119" s="110"/>
      <c r="N119" s="104" t="e">
        <v>#N/A</v>
      </c>
    </row>
    <row r="120">
      <c r="A120" s="104">
        <v>82.0</v>
      </c>
      <c r="B120" s="105" t="s">
        <v>488</v>
      </c>
      <c r="C120" s="106" t="str">
        <f>IFERROR(VLOOKUP(B120,'Spesifikasi Bahan'!$A$2:$B$10074,2,FALSE),"")</f>
        <v>Sodium Phosphate dibasic Heptahydrate</v>
      </c>
      <c r="D120" s="106" t="str">
        <f>IFERROR(VLOOKUP(B120,'Spesifikasi Bahan'!$A$2:$C$10074,3,FALSE),"")</f>
        <v>Na2HPO4 · 7H2O</v>
      </c>
      <c r="E120" s="106">
        <f>IFERROR(VLOOKUP(B120,'Spesifikasi Bahan'!$A$2:$E$10074,5,FALSE),"")</f>
        <v>100</v>
      </c>
      <c r="F120" s="106" t="str">
        <f>IFERROR(VLOOKUP(B120,'Spesifikasi Bahan'!$A$2:$F$10074,6,FALSE),"")</f>
        <v>gram</v>
      </c>
      <c r="G120" s="106">
        <f>IFERROR(VLOOKUP(B120,'Spesifikasi Bahan'!$A$2:$G$10074,7,FALSE),"")</f>
        <v>10</v>
      </c>
      <c r="H120" s="107">
        <f t="shared" si="3"/>
        <v>100</v>
      </c>
      <c r="I120" s="107">
        <f>SUMIF('Form Responses Incoming'!$C$2:$C$10131,B120,'Form Responses Incoming'!$D$2:D10246)</f>
        <v>100</v>
      </c>
      <c r="J120" s="107">
        <f>SUMIF('Form Responses Usage'!$C$2:$C$11115,B120,'Form Responses Usage'!$D$2:$D$11115)</f>
        <v>0</v>
      </c>
      <c r="K120" s="108" t="str">
        <f t="shared" si="2"/>
        <v>OK</v>
      </c>
      <c r="L120" s="109" t="str">
        <f>IFERROR(VLOOKUP(B120,'Spesifikasi Bahan'!$A$2:$D$10074,4,FALSE),"")</f>
        <v>S9390.0100 - SigmaAldrich</v>
      </c>
      <c r="M120" s="110"/>
      <c r="N120" s="104" t="e">
        <v>#N/A</v>
      </c>
    </row>
    <row r="121">
      <c r="A121" s="104">
        <v>82.0</v>
      </c>
      <c r="B121" s="105" t="s">
        <v>494</v>
      </c>
      <c r="C121" s="106" t="str">
        <f>IFERROR(VLOOKUP(B121,'Spesifikasi Bahan'!$A$2:$B$10074,2,FALSE),"")</f>
        <v>tri-Sodium Orthophosphate Dodecahydrate 98%</v>
      </c>
      <c r="D121" s="106" t="str">
        <f>IFERROR(VLOOKUP(B121,'Spesifikasi Bahan'!$A$2:$C$10074,3,FALSE),"")</f>
        <v>Na3PO4.12H2O</v>
      </c>
      <c r="E121" s="106">
        <f>IFERROR(VLOOKUP(B121,'Spesifikasi Bahan'!$A$2:$E$10074,5,FALSE),"")</f>
        <v>500</v>
      </c>
      <c r="F121" s="106" t="str">
        <f>IFERROR(VLOOKUP(B121,'Spesifikasi Bahan'!$A$2:$F$10074,6,FALSE),"")</f>
        <v>gram</v>
      </c>
      <c r="G121" s="106">
        <f>IFERROR(VLOOKUP(B121,'Spesifikasi Bahan'!$A$2:$G$10074,7,FALSE),"")</f>
        <v>100</v>
      </c>
      <c r="H121" s="107">
        <f t="shared" si="3"/>
        <v>477.5</v>
      </c>
      <c r="I121" s="107">
        <f>SUMIF('Form Responses Incoming'!$C$2:$C$10131,B121,'Form Responses Incoming'!$D$2:D10247)</f>
        <v>500</v>
      </c>
      <c r="J121" s="107">
        <f>SUMIF('Form Responses Usage'!$C$2:$C$11115,B121,'Form Responses Usage'!$D$2:$D$11115)</f>
        <v>22.5</v>
      </c>
      <c r="K121" s="108" t="str">
        <f t="shared" si="2"/>
        <v>OK</v>
      </c>
      <c r="L121" s="109" t="str">
        <f>IFERROR(VLOOKUP(B121,'Spesifikasi Bahan'!$A$2:$D$10074,4,FALSE),"")</f>
        <v>05960 - LobaChemie</v>
      </c>
      <c r="M121" s="110"/>
      <c r="N121" s="104" t="e">
        <v>#N/A</v>
      </c>
    </row>
    <row r="122">
      <c r="A122" s="104">
        <v>82.0</v>
      </c>
      <c r="B122" s="105" t="s">
        <v>501</v>
      </c>
      <c r="C122" s="106" t="str">
        <f>IFERROR(VLOOKUP(B122,'Spesifikasi Bahan'!$A$2:$B$10074,2,FALSE),"")</f>
        <v>Diphenyl Carbazide 98%</v>
      </c>
      <c r="D122" s="106" t="str">
        <f>IFERROR(VLOOKUP(B122,'Spesifikasi Bahan'!$A$2:$C$10074,3,FALSE),"")</f>
        <v>-</v>
      </c>
      <c r="E122" s="106">
        <f>IFERROR(VLOOKUP(B122,'Spesifikasi Bahan'!$A$2:$E$10074,5,FALSE),"")</f>
        <v>10</v>
      </c>
      <c r="F122" s="106" t="str">
        <f>IFERROR(VLOOKUP(B122,'Spesifikasi Bahan'!$A$2:$F$10074,6,FALSE),"")</f>
        <v>gram</v>
      </c>
      <c r="G122" s="106">
        <f>IFERROR(VLOOKUP(B122,'Spesifikasi Bahan'!$A$2:$G$10074,7,FALSE),"")</f>
        <v>1</v>
      </c>
      <c r="H122" s="107">
        <f t="shared" si="3"/>
        <v>5.238</v>
      </c>
      <c r="I122" s="107">
        <f>SUMIF('Form Responses Incoming'!$C$2:$C$10131,B122,'Form Responses Incoming'!$D$2:D10248)</f>
        <v>10</v>
      </c>
      <c r="J122" s="107">
        <f>SUMIF('Form Responses Usage'!$C$2:$C$11115,B122,'Form Responses Usage'!$D$2:$D$11115)</f>
        <v>4.762</v>
      </c>
      <c r="K122" s="108" t="str">
        <f t="shared" si="2"/>
        <v>OK</v>
      </c>
      <c r="L122" s="109" t="str">
        <f>IFERROR(VLOOKUP(B122,'Spesifikasi Bahan'!$A$2:$D$10074,4,FALSE),"")</f>
        <v>03521 - LobaChemie</v>
      </c>
      <c r="M122" s="110"/>
      <c r="N122" s="104" t="e">
        <v>#N/A</v>
      </c>
    </row>
    <row r="123">
      <c r="A123" s="104">
        <v>82.0</v>
      </c>
      <c r="B123" s="105" t="s">
        <v>507</v>
      </c>
      <c r="C123" s="106" t="str">
        <f>IFERROR(VLOOKUP(B123,'Spesifikasi Bahan'!$A$2:$B$10074,2,FALSE),"")</f>
        <v>Boric Acid </v>
      </c>
      <c r="D123" s="106" t="str">
        <f>IFERROR(VLOOKUP(B123,'Spesifikasi Bahan'!$A$2:$C$10074,3,FALSE),"")</f>
        <v>H3BO3</v>
      </c>
      <c r="E123" s="106">
        <f>IFERROR(VLOOKUP(B123,'Spesifikasi Bahan'!$A$2:$E$10074,5,FALSE),"")</f>
        <v>1000</v>
      </c>
      <c r="F123" s="106" t="str">
        <f>IFERROR(VLOOKUP(B123,'Spesifikasi Bahan'!$A$2:$F$10074,6,FALSE),"")</f>
        <v>gram</v>
      </c>
      <c r="G123" s="106">
        <f>IFERROR(VLOOKUP(B123,'Spesifikasi Bahan'!$A$2:$G$10074,7,FALSE),"")</f>
        <v>100</v>
      </c>
      <c r="H123" s="107">
        <f t="shared" si="3"/>
        <v>1000</v>
      </c>
      <c r="I123" s="107">
        <f>SUMIF('Form Responses Incoming'!$C$2:$C$10131,B123,'Form Responses Incoming'!$D$2:D10249)</f>
        <v>1000</v>
      </c>
      <c r="J123" s="107">
        <f>SUMIF('Form Responses Usage'!$C$2:$C$11115,B123,'Form Responses Usage'!$D$2:$D$11115)</f>
        <v>0</v>
      </c>
      <c r="K123" s="108" t="str">
        <f t="shared" si="2"/>
        <v>OK</v>
      </c>
      <c r="L123" s="109" t="str">
        <f>IFERROR(VLOOKUP(B123,'Spesifikasi Bahan'!$A$2:$D$10074,4,FALSE),"")</f>
        <v>A-2013 - Smartlab</v>
      </c>
      <c r="M123" s="110"/>
      <c r="N123" s="104" t="e">
        <v>#N/A</v>
      </c>
    </row>
    <row r="124">
      <c r="A124" s="104">
        <v>82.0</v>
      </c>
      <c r="B124" s="105" t="s">
        <v>513</v>
      </c>
      <c r="C124" s="106" t="str">
        <f>IFERROR(VLOOKUP(B124,'Spesifikasi Bahan'!$A$2:$B$10074,2,FALSE),"")</f>
        <v>Trans-1,2-Diamino-Cyclohexane-N,N,N,N-Tetraacetic Acid Monohydrate 99%</v>
      </c>
      <c r="D124" s="106" t="str">
        <f>IFERROR(VLOOKUP(B124,'Spesifikasi Bahan'!$A$2:$C$10074,3,FALSE),"")</f>
        <v>C14H22N2O8.H2O</v>
      </c>
      <c r="E124" s="106">
        <f>IFERROR(VLOOKUP(B124,'Spesifikasi Bahan'!$A$2:$E$10074,5,FALSE),"")</f>
        <v>25</v>
      </c>
      <c r="F124" s="106" t="str">
        <f>IFERROR(VLOOKUP(B124,'Spesifikasi Bahan'!$A$2:$F$10074,6,FALSE),"")</f>
        <v>gram</v>
      </c>
      <c r="G124" s="106">
        <f>IFERROR(VLOOKUP(B124,'Spesifikasi Bahan'!$A$2:$G$10074,7,FALSE),"")</f>
        <v>5</v>
      </c>
      <c r="H124" s="107">
        <f t="shared" si="3"/>
        <v>27.2467</v>
      </c>
      <c r="I124" s="107">
        <f>SUMIF('Form Responses Incoming'!$C$2:$C$10131,B124,'Form Responses Incoming'!$D$2:D10250)</f>
        <v>50</v>
      </c>
      <c r="J124" s="107">
        <f>SUMIF('Form Responses Usage'!$C$2:$C$11115,B124,'Form Responses Usage'!$D$2:$D$11115)</f>
        <v>22.7533</v>
      </c>
      <c r="K124" s="108" t="str">
        <f t="shared" si="2"/>
        <v>OK</v>
      </c>
      <c r="L124" s="109" t="str">
        <f>IFERROR(VLOOKUP(B124,'Spesifikasi Bahan'!$A$2:$D$10074,4,FALSE),"")</f>
        <v>03215 - LobaChemie</v>
      </c>
      <c r="M124" s="110"/>
      <c r="N124" s="104" t="e">
        <v>#N/A</v>
      </c>
    </row>
    <row r="125">
      <c r="A125" s="104">
        <v>82.0</v>
      </c>
      <c r="B125" s="105" t="s">
        <v>944</v>
      </c>
      <c r="C125" s="106" t="str">
        <f>IFERROR(VLOOKUP(B125,'Spesifikasi Bahan'!$A$2:$B$10074,2,FALSE),"")</f>
        <v>Sterikon plus Bioindikator</v>
      </c>
      <c r="D125" s="106" t="str">
        <f>IFERROR(VLOOKUP(B125,'Spesifikasi Bahan'!$A$2:$C$10074,3,FALSE),"")</f>
        <v>-</v>
      </c>
      <c r="E125" s="106">
        <f>IFERROR(VLOOKUP(B125,'Spesifikasi Bahan'!$A$2:$E$10074,5,FALSE),"")</f>
        <v>15</v>
      </c>
      <c r="F125" s="106" t="str">
        <f>IFERROR(VLOOKUP(B125,'Spesifikasi Bahan'!$A$2:$F$10074,6,FALSE),"")</f>
        <v>pcs</v>
      </c>
      <c r="G125" s="106">
        <f>IFERROR(VLOOKUP(B125,'Spesifikasi Bahan'!$A$2:$G$10074,7,FALSE),"")</f>
        <v>3</v>
      </c>
      <c r="H125" s="107">
        <f t="shared" si="3"/>
        <v>4</v>
      </c>
      <c r="I125" s="107">
        <f>SUMIF('Form Responses Incoming'!$C$2:$C$10131,B125,'Form Responses Incoming'!$D$2:D10250)</f>
        <v>15</v>
      </c>
      <c r="J125" s="107">
        <f>SUMIF('Form Responses Usage'!$C$2:$C$11115,B125,'Form Responses Usage'!$D$2:$D$11115)</f>
        <v>11</v>
      </c>
      <c r="K125" s="108" t="str">
        <f t="shared" si="2"/>
        <v>OK</v>
      </c>
      <c r="L125" s="109" t="str">
        <f>IFERROR(VLOOKUP(B125,'Spesifikasi Bahan'!$A$2:$D$10074,4,FALSE),"")</f>
        <v>1.10274.0001 - Milipore</v>
      </c>
      <c r="M125" s="110"/>
      <c r="N125" s="104" t="e">
        <v>#N/A</v>
      </c>
    </row>
    <row r="126">
      <c r="A126" s="104">
        <v>82.0</v>
      </c>
      <c r="B126" s="105" t="s">
        <v>525</v>
      </c>
      <c r="C126" s="106" t="str">
        <f>IFERROR(VLOOKUP(B126,'Spesifikasi Bahan'!$A$2:$B$10074,2,FALSE),"")</f>
        <v>KWIK-STIK Escherichia coli ATCC 25922</v>
      </c>
      <c r="D126" s="106" t="str">
        <f>IFERROR(VLOOKUP(B126,'Spesifikasi Bahan'!$A$2:$C$10074,3,FALSE),"")</f>
        <v>-</v>
      </c>
      <c r="E126" s="106">
        <f>IFERROR(VLOOKUP(B126,'Spesifikasi Bahan'!$A$2:$E$10074,5,FALSE),"")</f>
        <v>2</v>
      </c>
      <c r="F126" s="106" t="str">
        <f>IFERROR(VLOOKUP(B126,'Spesifikasi Bahan'!$A$2:$F$10074,6,FALSE),"")</f>
        <v>pcs </v>
      </c>
      <c r="G126" s="106">
        <f>IFERROR(VLOOKUP(B126,'Spesifikasi Bahan'!$A$2:$G$10074,7,FALSE),"")</f>
        <v>1</v>
      </c>
      <c r="H126" s="107">
        <f t="shared" si="3"/>
        <v>1</v>
      </c>
      <c r="I126" s="107">
        <f>SUMIF('Form Responses Incoming'!$C$2:$C$10131,B126,'Form Responses Incoming'!$D$2:D10251)</f>
        <v>2</v>
      </c>
      <c r="J126" s="107">
        <f>SUMIF('Form Responses Usage'!$C$2:$C$11115,B126,'Form Responses Usage'!$D$2:$D$11115)</f>
        <v>1</v>
      </c>
      <c r="K126" s="108" t="str">
        <f t="shared" si="2"/>
        <v>OK</v>
      </c>
      <c r="L126" s="109" t="str">
        <f>IFERROR(VLOOKUP(B126,'Spesifikasi Bahan'!$A$2:$D$10074,4,FALSE),"")</f>
        <v>0335P - Microbiologics</v>
      </c>
      <c r="M126" s="110"/>
      <c r="N126" s="104" t="e">
        <v>#N/A</v>
      </c>
    </row>
    <row r="127">
      <c r="A127" s="104">
        <v>82.0</v>
      </c>
      <c r="B127" s="105" t="s">
        <v>532</v>
      </c>
      <c r="C127" s="106" t="str">
        <f>IFERROR(VLOOKUP(B127,'Spesifikasi Bahan'!$A$2:$B$10074,2,FALSE),"")</f>
        <v>Compact Dry EC</v>
      </c>
      <c r="D127" s="106" t="str">
        <f>IFERROR(VLOOKUP(B127,'Spesifikasi Bahan'!$A$2:$C$10074,3,FALSE),"")</f>
        <v>-</v>
      </c>
      <c r="E127" s="106">
        <f>IFERROR(VLOOKUP(B127,'Spesifikasi Bahan'!$A$2:$E$10074,5,FALSE),"")</f>
        <v>240</v>
      </c>
      <c r="F127" s="106" t="str">
        <f>IFERROR(VLOOKUP(B127,'Spesifikasi Bahan'!$A$2:$F$10074,6,FALSE),"")</f>
        <v>pcs </v>
      </c>
      <c r="G127" s="106">
        <f>IFERROR(VLOOKUP(B127,'Spesifikasi Bahan'!$A$2:$G$10074,7,FALSE),"")</f>
        <v>50</v>
      </c>
      <c r="H127" s="107">
        <f t="shared" si="3"/>
        <v>191</v>
      </c>
      <c r="I127" s="107">
        <f>SUMIF('Form Responses Incoming'!$C$2:$C$10131,B127,'Form Responses Incoming'!$D$2:D10252)</f>
        <v>240</v>
      </c>
      <c r="J127" s="107">
        <f>SUMIF('Form Responses Usage'!$C$2:$C$11115,B127,'Form Responses Usage'!$D$2:$D$11115)</f>
        <v>49</v>
      </c>
      <c r="K127" s="108" t="str">
        <f t="shared" si="2"/>
        <v>OK</v>
      </c>
      <c r="L127" s="109" t="str">
        <f>IFERROR(VLOOKUP(B127,'Spesifikasi Bahan'!$A$2:$D$10074,4,FALSE),"")</f>
        <v>54052 - Shimadzu</v>
      </c>
      <c r="M127" s="110"/>
      <c r="N127" s="104" t="e">
        <v>#N/A</v>
      </c>
    </row>
    <row r="128">
      <c r="A128" s="104">
        <v>82.0</v>
      </c>
      <c r="B128" s="105" t="s">
        <v>957</v>
      </c>
      <c r="C128" s="106" t="str">
        <f>IFERROR(VLOOKUP(B128,'Spesifikasi Bahan'!$A$2:$B$10074,2,FALSE),"")</f>
        <v>Kovacs' Indole Reagent</v>
      </c>
      <c r="D128" s="106" t="str">
        <f>IFERROR(VLOOKUP(B128,'Spesifikasi Bahan'!$A$2:$C$10074,3,FALSE),"")</f>
        <v>-</v>
      </c>
      <c r="E128" s="106">
        <f>IFERROR(VLOOKUP(B128,'Spesifikasi Bahan'!$A$2:$E$10074,5,FALSE),"")</f>
        <v>100</v>
      </c>
      <c r="F128" s="106" t="str">
        <f>IFERROR(VLOOKUP(B128,'Spesifikasi Bahan'!$A$2:$F$10074,6,FALSE),"")</f>
        <v>mL</v>
      </c>
      <c r="G128" s="106">
        <f>IFERROR(VLOOKUP(B128,'Spesifikasi Bahan'!$A$2:$G$10074,7,FALSE),"")</f>
        <v>10</v>
      </c>
      <c r="H128" s="107">
        <f t="shared" si="3"/>
        <v>97.54</v>
      </c>
      <c r="I128" s="107">
        <f>SUMIF('Form Responses Incoming'!$C$2:$C$10131,B128,'Form Responses Incoming'!$D$2:D10253)</f>
        <v>100</v>
      </c>
      <c r="J128" s="107">
        <f>SUMIF('Form Responses Usage'!$C$2:$C$11115,B128,'Form Responses Usage'!$D$2:$D$11115)</f>
        <v>2.46</v>
      </c>
      <c r="K128" s="108" t="str">
        <f t="shared" si="2"/>
        <v>OK</v>
      </c>
      <c r="L128" s="109" t="str">
        <f>IFERROR(VLOOKUP(B128,'Spesifikasi Bahan'!$A$2:$D$10074,4,FALSE),"")</f>
        <v>R008 - Himedia</v>
      </c>
      <c r="M128" s="110"/>
      <c r="N128" s="104" t="e">
        <v>#N/A</v>
      </c>
    </row>
    <row r="129">
      <c r="A129" s="104">
        <v>82.0</v>
      </c>
      <c r="B129" s="105" t="s">
        <v>538</v>
      </c>
      <c r="C129" s="106" t="str">
        <f>IFERROR(VLOOKUP(B129,'Spesifikasi Bahan'!$A$2:$B$10074,2,FALSE),"")</f>
        <v>Tryptone Water</v>
      </c>
      <c r="D129" s="106" t="str">
        <f>IFERROR(VLOOKUP(B129,'Spesifikasi Bahan'!$A$2:$C$10074,3,FALSE),"")</f>
        <v>-</v>
      </c>
      <c r="E129" s="106">
        <f>IFERROR(VLOOKUP(B129,'Spesifikasi Bahan'!$A$2:$E$10074,5,FALSE),"")</f>
        <v>500</v>
      </c>
      <c r="F129" s="106" t="str">
        <f>IFERROR(VLOOKUP(B129,'Spesifikasi Bahan'!$A$2:$F$10074,6,FALSE),"")</f>
        <v>gram</v>
      </c>
      <c r="G129" s="106">
        <f>IFERROR(VLOOKUP(B129,'Spesifikasi Bahan'!$A$2:$G$10074,7,FALSE),"")</f>
        <v>100</v>
      </c>
      <c r="H129" s="107">
        <f t="shared" si="3"/>
        <v>494.941</v>
      </c>
      <c r="I129" s="107">
        <f>SUMIF('Form Responses Incoming'!$C$2:$C$10131,B129,'Form Responses Incoming'!$D$2:D10254)</f>
        <v>500</v>
      </c>
      <c r="J129" s="107">
        <f>SUMIF('Form Responses Usage'!$C$2:$C$11115,B129,'Form Responses Usage'!$D$2:$D$11115)</f>
        <v>5.059</v>
      </c>
      <c r="K129" s="108" t="str">
        <f t="shared" si="2"/>
        <v>OK</v>
      </c>
      <c r="L129" s="109" t="str">
        <f>IFERROR(VLOOKUP(B129,'Spesifikasi Bahan'!$A$2:$D$10074,4,FALSE),"")</f>
        <v>M463l - Himedia </v>
      </c>
      <c r="M129" s="110"/>
      <c r="N129" s="104" t="e">
        <v>#N/A</v>
      </c>
    </row>
    <row r="130">
      <c r="A130" s="104">
        <v>82.0</v>
      </c>
      <c r="B130" s="105" t="s">
        <v>544</v>
      </c>
      <c r="C130" s="106" t="str">
        <f>IFERROR(VLOOKUP(B130,'Spesifikasi Bahan'!$A$2:$B$10074,2,FALSE),"")</f>
        <v>Silver Nitrat </v>
      </c>
      <c r="D130" s="106" t="str">
        <f>IFERROR(VLOOKUP(B130,'Spesifikasi Bahan'!$A$2:$C$10074,3,FALSE),"")</f>
        <v>AgNO3</v>
      </c>
      <c r="E130" s="106">
        <f>IFERROR(VLOOKUP(B130,'Spesifikasi Bahan'!$A$2:$E$10074,5,FALSE),"")</f>
        <v>100</v>
      </c>
      <c r="F130" s="106" t="str">
        <f>IFERROR(VLOOKUP(B130,'Spesifikasi Bahan'!$A$2:$F$10074,6,FALSE),"")</f>
        <v>gram</v>
      </c>
      <c r="G130" s="106">
        <f>IFERROR(VLOOKUP(B130,'Spesifikasi Bahan'!$A$2:$G$10074,7,FALSE),"")</f>
        <v>10</v>
      </c>
      <c r="H130" s="107">
        <f t="shared" si="3"/>
        <v>97.605</v>
      </c>
      <c r="I130" s="107">
        <f>SUMIF('Form Responses Incoming'!$C$2:$C$10131,B130,'Form Responses Incoming'!$D$2:D10255)</f>
        <v>100</v>
      </c>
      <c r="J130" s="107">
        <f>SUMIF('Form Responses Usage'!$C$2:$C$11115,B130,'Form Responses Usage'!$D$2:$D$11115)</f>
        <v>2.395</v>
      </c>
      <c r="K130" s="108" t="str">
        <f t="shared" si="2"/>
        <v>OK</v>
      </c>
      <c r="L130" s="109" t="str">
        <f>IFERROR(VLOOKUP(B130,'Spesifikasi Bahan'!$A$2:$D$10074,4,FALSE),"")</f>
        <v>SA087 - Chem-supply</v>
      </c>
      <c r="M130" s="110"/>
      <c r="N130" s="104" t="e">
        <v>#N/A</v>
      </c>
    </row>
    <row r="131">
      <c r="A131" s="104">
        <v>82.0</v>
      </c>
      <c r="B131" s="105" t="s">
        <v>551</v>
      </c>
      <c r="C131" s="106" t="str">
        <f>IFERROR(VLOOKUP(B131,'Spesifikasi Bahan'!$A$2:$B$10074,2,FALSE),"")</f>
        <v>Thiourea 99%</v>
      </c>
      <c r="D131" s="106" t="str">
        <f>IFERROR(VLOOKUP(B131,'Spesifikasi Bahan'!$A$2:$C$10074,3,FALSE),"")</f>
        <v>NH2.CS.NH2</v>
      </c>
      <c r="E131" s="106">
        <f>IFERROR(VLOOKUP(B131,'Spesifikasi Bahan'!$A$2:$E$10074,5,FALSE),"")</f>
        <v>500</v>
      </c>
      <c r="F131" s="106" t="str">
        <f>IFERROR(VLOOKUP(B131,'Spesifikasi Bahan'!$A$2:$F$10074,6,FALSE),"")</f>
        <v>gram</v>
      </c>
      <c r="G131" s="106">
        <f>IFERROR(VLOOKUP(B131,'Spesifikasi Bahan'!$A$2:$G$10074,7,FALSE),"")</f>
        <v>100</v>
      </c>
      <c r="H131" s="107">
        <f t="shared" si="3"/>
        <v>457.4197</v>
      </c>
      <c r="I131" s="107">
        <f>SUMIF('Form Responses Incoming'!$C$2:$C$10131,B131,'Form Responses Incoming'!$D$2:D10256)</f>
        <v>500</v>
      </c>
      <c r="J131" s="107">
        <f>SUMIF('Form Responses Usage'!$C$2:$C$11115,B131,'Form Responses Usage'!$D$2:$D$11115)</f>
        <v>42.5803</v>
      </c>
      <c r="K131" s="108" t="str">
        <f t="shared" si="2"/>
        <v>OK</v>
      </c>
      <c r="L131" s="109" t="str">
        <f>IFERROR(VLOOKUP(B131,'Spesifikasi Bahan'!$A$2:$D$10074,4,FALSE),"")</f>
        <v>06292 - LobaChemie</v>
      </c>
      <c r="M131" s="110"/>
      <c r="N131" s="104" t="e">
        <v>#N/A</v>
      </c>
    </row>
    <row r="132">
      <c r="A132" s="104">
        <v>82.0</v>
      </c>
      <c r="B132" s="105" t="s">
        <v>558</v>
      </c>
      <c r="C132" s="106" t="str">
        <f>IFERROR(VLOOKUP(B132,'Spesifikasi Bahan'!$A$2:$B$10074,2,FALSE),"")</f>
        <v>Test Kit Free Chlorine </v>
      </c>
      <c r="D132" s="106" t="str">
        <f>IFERROR(VLOOKUP(B132,'Spesifikasi Bahan'!$A$2:$C$10074,3,FALSE),"")</f>
        <v>Cl2</v>
      </c>
      <c r="E132" s="106">
        <f>IFERROR(VLOOKUP(B132,'Spesifikasi Bahan'!$A$2:$E$10074,5,FALSE),"")</f>
        <v>100</v>
      </c>
      <c r="F132" s="106" t="str">
        <f>IFERROR(VLOOKUP(B132,'Spesifikasi Bahan'!$A$2:$F$10074,6,FALSE),"")</f>
        <v>Pcs</v>
      </c>
      <c r="G132" s="106">
        <f>IFERROR(VLOOKUP(B132,'Spesifikasi Bahan'!$A$2:$G$10074,7,FALSE),"")</f>
        <v>10</v>
      </c>
      <c r="H132" s="107">
        <f t="shared" si="3"/>
        <v>71</v>
      </c>
      <c r="I132" s="107">
        <f>SUMIF('Form Responses Incoming'!$C$2:$C$10131,B132,'Form Responses Incoming'!$D$2:D10257)</f>
        <v>100</v>
      </c>
      <c r="J132" s="107">
        <f>SUMIF('Form Responses Usage'!$C$2:$C$11115,B132,'Form Responses Usage'!$D$2:$D$11115)</f>
        <v>29</v>
      </c>
      <c r="K132" s="108" t="str">
        <f t="shared" si="2"/>
        <v>OK</v>
      </c>
      <c r="L132" s="109" t="str">
        <f>IFERROR(VLOOKUP(B132,'Spesifikasi Bahan'!$A$2:$D$10074,4,FALSE),"")</f>
        <v>HI93701-01</v>
      </c>
      <c r="M132" s="110"/>
      <c r="N132" s="104" t="e">
        <v>#N/A</v>
      </c>
    </row>
    <row r="133">
      <c r="A133" s="104">
        <v>82.0</v>
      </c>
      <c r="B133" s="105" t="s">
        <v>566</v>
      </c>
      <c r="C133" s="106" t="str">
        <f>IFERROR(VLOOKUP(B133,'Spesifikasi Bahan'!$A$2:$B$10074,2,FALSE),"")</f>
        <v>Colilert*-18</v>
      </c>
      <c r="D133" s="106" t="str">
        <f>IFERROR(VLOOKUP(B133,'Spesifikasi Bahan'!$A$2:$C$10074,3,FALSE),"")</f>
        <v>-</v>
      </c>
      <c r="E133" s="106">
        <f>IFERROR(VLOOKUP(B133,'Spesifikasi Bahan'!$A$2:$E$10074,5,FALSE),"")</f>
        <v>200</v>
      </c>
      <c r="F133" s="106" t="str">
        <f>IFERROR(VLOOKUP(B133,'Spesifikasi Bahan'!$A$2:$F$10074,6,FALSE),"")</f>
        <v>Pcs</v>
      </c>
      <c r="G133" s="106">
        <f>IFERROR(VLOOKUP(B133,'Spesifikasi Bahan'!$A$2:$G$10074,7,FALSE),"")</f>
        <v>50</v>
      </c>
      <c r="H133" s="107">
        <f t="shared" si="3"/>
        <v>163</v>
      </c>
      <c r="I133" s="107">
        <f>SUMIF('Form Responses Incoming'!$C$2:$C$10131,B133,'Form Responses Incoming'!$D$2:D10255)</f>
        <v>200</v>
      </c>
      <c r="J133" s="107">
        <f>SUMIF('Form Responses Usage'!$C$2:$C$11115,B133,'Form Responses Usage'!$D$2:$D$11115)</f>
        <v>37</v>
      </c>
      <c r="K133" s="108" t="str">
        <f t="shared" si="2"/>
        <v>OK</v>
      </c>
      <c r="L133" s="109" t="str">
        <f>IFERROR(VLOOKUP(B133,'Spesifikasi Bahan'!$A$2:$D$10074,4,FALSE),"")</f>
        <v>WP200I-18 - IDEXX</v>
      </c>
      <c r="M133" s="110"/>
      <c r="N133" s="104" t="e">
        <v>#N/A</v>
      </c>
    </row>
    <row r="134">
      <c r="A134" s="104">
        <v>82.0</v>
      </c>
      <c r="B134" s="105" t="s">
        <v>572</v>
      </c>
      <c r="C134" s="106" t="str">
        <f>IFERROR(VLOOKUP(B134,'Spesifikasi Bahan'!$A$2:$B$10074,2,FALSE),"")</f>
        <v>Quanti-Tray*/2000</v>
      </c>
      <c r="D134" s="106" t="str">
        <f>IFERROR(VLOOKUP(B134,'Spesifikasi Bahan'!$A$2:$C$10074,3,FALSE),"")</f>
        <v>-</v>
      </c>
      <c r="E134" s="106">
        <f>IFERROR(VLOOKUP(B134,'Spesifikasi Bahan'!$A$2:$E$10074,5,FALSE),"")</f>
        <v>100</v>
      </c>
      <c r="F134" s="106" t="str">
        <f>IFERROR(VLOOKUP(B134,'Spesifikasi Bahan'!$A$2:$F$10074,6,FALSE),"")</f>
        <v>Pcs</v>
      </c>
      <c r="G134" s="106">
        <f>IFERROR(VLOOKUP(B134,'Spesifikasi Bahan'!$A$2:$G$10074,7,FALSE),"")</f>
        <v>25</v>
      </c>
      <c r="H134" s="107">
        <f t="shared" si="3"/>
        <v>62</v>
      </c>
      <c r="I134" s="107">
        <f>SUMIF('Form Responses Incoming'!$C$2:$C$10131,B134,'Form Responses Incoming'!$D$2:D10256)</f>
        <v>100</v>
      </c>
      <c r="J134" s="107">
        <f>SUMIF('Form Responses Usage'!$C$2:$C$11115,B134,'Form Responses Usage'!$D$2:$D$11115)</f>
        <v>38</v>
      </c>
      <c r="K134" s="108" t="str">
        <f t="shared" si="2"/>
        <v>OK</v>
      </c>
      <c r="L134" s="109" t="str">
        <f>IFERROR(VLOOKUP(B134,'Spesifikasi Bahan'!$A$2:$D$10074,4,FALSE),"")</f>
        <v>WQT2K - IDEXX</v>
      </c>
      <c r="M134" s="110"/>
      <c r="N134" s="104" t="e">
        <v>#N/A</v>
      </c>
    </row>
    <row r="135">
      <c r="A135" s="104">
        <v>82.0</v>
      </c>
      <c r="B135" s="105" t="s">
        <v>576</v>
      </c>
      <c r="C135" s="106" t="str">
        <f>IFERROR(VLOOKUP(B135,'Spesifikasi Bahan'!$A$2:$B$10074,2,FALSE),"")</f>
        <v>Dextrose Anhydrous </v>
      </c>
      <c r="D135" s="106" t="str">
        <f>IFERROR(VLOOKUP(B135,'Spesifikasi Bahan'!$A$2:$C$10074,3,FALSE),"")</f>
        <v>C6H12O6</v>
      </c>
      <c r="E135" s="106">
        <f>IFERROR(VLOOKUP(B135,'Spesifikasi Bahan'!$A$2:$E$10074,5,FALSE),"")</f>
        <v>500</v>
      </c>
      <c r="F135" s="106" t="str">
        <f>IFERROR(VLOOKUP(B135,'Spesifikasi Bahan'!$A$2:$F$10074,6,FALSE),"")</f>
        <v>gram</v>
      </c>
      <c r="G135" s="106">
        <f>IFERROR(VLOOKUP(B135,'Spesifikasi Bahan'!$A$2:$G$10074,7,FALSE),"")</f>
        <v>100</v>
      </c>
      <c r="H135" s="107">
        <f t="shared" si="3"/>
        <v>366.7487</v>
      </c>
      <c r="I135" s="107">
        <f>SUMIF('Form Responses Incoming'!$C$2:$C$10131,B135,'Form Responses Incoming'!$D$2:D10257)</f>
        <v>500</v>
      </c>
      <c r="J135" s="107">
        <f>SUMIF('Form Responses Usage'!$C$2:$C$11115,B135,'Form Responses Usage'!$D$2:$D$11115)</f>
        <v>133.2513</v>
      </c>
      <c r="K135" s="108" t="str">
        <f t="shared" si="2"/>
        <v>OK</v>
      </c>
      <c r="L135" s="109" t="str">
        <f>IFERROR(VLOOKUP(B135,'Spesifikasi Bahan'!$A$2:$D$10074,4,FALSE),"")</f>
        <v>03170 -  LobaChemie</v>
      </c>
      <c r="M135" s="110"/>
      <c r="N135" s="104" t="e">
        <v>#N/A</v>
      </c>
    </row>
    <row r="136">
      <c r="A136" s="104">
        <v>82.0</v>
      </c>
      <c r="B136" s="105" t="s">
        <v>582</v>
      </c>
      <c r="C136" s="106" t="str">
        <f>IFERROR(VLOOKUP(B136,'Spesifikasi Bahan'!$A$2:$B$10074,2,FALSE),"")</f>
        <v>L-Ascorbic Acid </v>
      </c>
      <c r="D136" s="106" t="str">
        <f>IFERROR(VLOOKUP(B136,'Spesifikasi Bahan'!$A$2:$C$10074,3,FALSE),"")</f>
        <v>C6H8O6</v>
      </c>
      <c r="E136" s="106">
        <f>IFERROR(VLOOKUP(B136,'Spesifikasi Bahan'!$A$2:$E$10074,5,FALSE),"")</f>
        <v>100</v>
      </c>
      <c r="F136" s="106" t="str">
        <f>IFERROR(VLOOKUP(B136,'Spesifikasi Bahan'!$A$2:$F$10074,6,FALSE),"")</f>
        <v>gram</v>
      </c>
      <c r="G136" s="106">
        <f>IFERROR(VLOOKUP(B136,'Spesifikasi Bahan'!$A$2:$G$10074,7,FALSE),"")</f>
        <v>10</v>
      </c>
      <c r="H136" s="107">
        <f t="shared" si="3"/>
        <v>68.0311</v>
      </c>
      <c r="I136" s="107">
        <f>SUMIF('Form Responses Incoming'!$C$2:$C$10131,B136,'Form Responses Incoming'!$D$2:D10258)</f>
        <v>100</v>
      </c>
      <c r="J136" s="107">
        <f>SUMIF('Form Responses Usage'!$C$2:$C$11115,B136,'Form Responses Usage'!$D$2:$D$11115)</f>
        <v>31.9689</v>
      </c>
      <c r="K136" s="108" t="str">
        <f t="shared" si="2"/>
        <v>OK</v>
      </c>
      <c r="L136" s="109" t="str">
        <f>IFERROR(VLOOKUP(B136,'Spesifikasi Bahan'!$A$2:$D$10074,4,FALSE),"")</f>
        <v>01549 - LobaChemie</v>
      </c>
      <c r="M136" s="110"/>
      <c r="N136" s="104" t="e">
        <v>#N/A</v>
      </c>
    </row>
    <row r="137">
      <c r="A137" s="104">
        <v>82.0</v>
      </c>
      <c r="B137" s="105" t="s">
        <v>588</v>
      </c>
      <c r="C137" s="106" t="str">
        <f>IFERROR(VLOOKUP(B137,'Spesifikasi Bahan'!$A$2:$B$10074,2,FALSE),"")</f>
        <v>Pottasium Permanganat</v>
      </c>
      <c r="D137" s="106" t="str">
        <f>IFERROR(VLOOKUP(B137,'Spesifikasi Bahan'!$A$2:$C$10074,3,FALSE),"")</f>
        <v>KMnO₄</v>
      </c>
      <c r="E137" s="106">
        <f>IFERROR(VLOOKUP(B137,'Spesifikasi Bahan'!$A$2:$E$10074,5,FALSE),"")</f>
        <v>250</v>
      </c>
      <c r="F137" s="106" t="str">
        <f>IFERROR(VLOOKUP(B137,'Spesifikasi Bahan'!$A$2:$F$10074,6,FALSE),"")</f>
        <v>gram</v>
      </c>
      <c r="G137" s="106">
        <f>IFERROR(VLOOKUP(B137,'Spesifikasi Bahan'!$A$2:$G$10074,7,FALSE),"")</f>
        <v>10</v>
      </c>
      <c r="H137" s="107">
        <f t="shared" si="3"/>
        <v>414.3878</v>
      </c>
      <c r="I137" s="107">
        <f>SUMIF('Form Responses Incoming'!$C$2:$C$10131,B137,'Form Responses Incoming'!$D$2:D10259)</f>
        <v>750</v>
      </c>
      <c r="J137" s="107">
        <f>SUMIF('Form Responses Usage'!$C$2:$C$11115,B137,'Form Responses Usage'!$D$2:$D$11115)</f>
        <v>335.6122</v>
      </c>
      <c r="K137" s="108" t="str">
        <f t="shared" si="2"/>
        <v>OK</v>
      </c>
      <c r="L137" s="109" t="str">
        <f>IFERROR(VLOOKUP(B137,'Spesifikasi Bahan'!$A$2:$D$10074,4,FALSE),"")</f>
        <v>1.05082.0250 - Supelco
A-2087 - Smartlab</v>
      </c>
      <c r="M137" s="110"/>
      <c r="N137" s="104" t="e">
        <v>#N/A</v>
      </c>
    </row>
    <row r="138">
      <c r="A138" s="104">
        <v>82.0</v>
      </c>
      <c r="B138" s="105" t="s">
        <v>594</v>
      </c>
      <c r="C138" s="106" t="str">
        <f>IFERROR(VLOOKUP(B138,'Spesifikasi Bahan'!$A$2:$B$10074,2,FALSE),"")</f>
        <v>tri-Sodium Citrate</v>
      </c>
      <c r="D138" s="106" t="str">
        <f>IFERROR(VLOOKUP(B138,'Spesifikasi Bahan'!$A$2:$C$10074,3,FALSE),"")</f>
        <v>C6H5Na3O7</v>
      </c>
      <c r="E138" s="106">
        <f>IFERROR(VLOOKUP(B138,'Spesifikasi Bahan'!$A$2:$E$10074,5,FALSE),"")</f>
        <v>1000</v>
      </c>
      <c r="F138" s="106" t="str">
        <f>IFERROR(VLOOKUP(B138,'Spesifikasi Bahan'!$A$2:$F$10074,6,FALSE),"")</f>
        <v>gram</v>
      </c>
      <c r="G138" s="106">
        <f>IFERROR(VLOOKUP(B138,'Spesifikasi Bahan'!$A$2:$G$10074,7,FALSE),"")</f>
        <v>10</v>
      </c>
      <c r="H138" s="107">
        <f t="shared" si="3"/>
        <v>878.9</v>
      </c>
      <c r="I138" s="107">
        <f>SUMIF('Form Responses Incoming'!$C$2:$C$10131,B138,'Form Responses Incoming'!$D$2:D10260)</f>
        <v>1000</v>
      </c>
      <c r="J138" s="107">
        <f>SUMIF('Form Responses Usage'!$C$2:$C$11115,B138,'Form Responses Usage'!$D$2:$D$11115)</f>
        <v>121.1</v>
      </c>
      <c r="K138" s="108" t="str">
        <f t="shared" si="2"/>
        <v>OK</v>
      </c>
      <c r="L138" s="109" t="str">
        <f>IFERROR(VLOOKUP(B138,'Spesifikasi Bahan'!$A$2:$D$10074,4,FALSE),"")</f>
        <v>1.11037.1000 - Merck</v>
      </c>
      <c r="M138" s="110"/>
      <c r="N138" s="104" t="e">
        <v>#N/A</v>
      </c>
    </row>
    <row r="139">
      <c r="A139" s="104">
        <v>82.0</v>
      </c>
      <c r="B139" s="105" t="s">
        <v>600</v>
      </c>
      <c r="C139" s="106" t="str">
        <f>IFERROR(VLOOKUP(B139,'Spesifikasi Bahan'!$A$2:$B$10074,2,FALSE),"")</f>
        <v>Calcium Chloride</v>
      </c>
      <c r="D139" s="106" t="str">
        <f>IFERROR(VLOOKUP(B139,'Spesifikasi Bahan'!$A$2:$C$10074,3,FALSE),"")</f>
        <v>CaCl2</v>
      </c>
      <c r="E139" s="106">
        <f>IFERROR(VLOOKUP(B139,'Spesifikasi Bahan'!$A$2:$E$10074,5,FALSE),"")</f>
        <v>100</v>
      </c>
      <c r="F139" s="106" t="str">
        <f>IFERROR(VLOOKUP(B139,'Spesifikasi Bahan'!$A$2:$F$10074,6,FALSE),"")</f>
        <v>gram</v>
      </c>
      <c r="G139" s="106">
        <f>IFERROR(VLOOKUP(B139,'Spesifikasi Bahan'!$A$2:$G$10074,7,FALSE),"")</f>
        <v>10</v>
      </c>
      <c r="H139" s="107">
        <f t="shared" si="3"/>
        <v>100</v>
      </c>
      <c r="I139" s="107">
        <f>SUMIF('Form Responses Incoming'!$C$2:$C$10131,B139,'Form Responses Incoming'!$D$2:D10261)</f>
        <v>100</v>
      </c>
      <c r="J139" s="107">
        <f>SUMIF('Form Responses Usage'!$C$2:$C$11115,B139,'Form Responses Usage'!$D$2:$D$11115)</f>
        <v>0</v>
      </c>
      <c r="K139" s="108" t="str">
        <f t="shared" si="2"/>
        <v>OK</v>
      </c>
      <c r="L139" s="109" t="str">
        <f>IFERROR(VLOOKUP(B139,'Spesifikasi Bahan'!$A$2:$D$10074,4,FALSE),"")</f>
        <v>1.00379.3004 - SigmaAldrich</v>
      </c>
      <c r="M139" s="110"/>
      <c r="N139" s="104" t="e">
        <v>#N/A</v>
      </c>
    </row>
    <row r="140">
      <c r="A140" s="104">
        <v>82.0</v>
      </c>
      <c r="B140" s="105" t="s">
        <v>606</v>
      </c>
      <c r="C140" s="106" t="str">
        <f>IFERROR(VLOOKUP(B140,'Spesifikasi Bahan'!$A$2:$B$10074,2,FALSE),"")</f>
        <v>Barbituric Acid 99%</v>
      </c>
      <c r="D140" s="106" t="str">
        <f>IFERROR(VLOOKUP(B140,'Spesifikasi Bahan'!$A$2:$C$10074,3,FALSE),"")</f>
        <v>C4H4N2O3</v>
      </c>
      <c r="E140" s="106">
        <f>IFERROR(VLOOKUP(B140,'Spesifikasi Bahan'!$A$2:$E$10074,5,FALSE),"")</f>
        <v>100</v>
      </c>
      <c r="F140" s="106" t="str">
        <f>IFERROR(VLOOKUP(B140,'Spesifikasi Bahan'!$A$2:$F$10074,6,FALSE),"")</f>
        <v>gram</v>
      </c>
      <c r="G140" s="106">
        <f>IFERROR(VLOOKUP(B140,'Spesifikasi Bahan'!$A$2:$G$10074,7,FALSE),"")</f>
        <v>10</v>
      </c>
      <c r="H140" s="107">
        <f t="shared" si="3"/>
        <v>70</v>
      </c>
      <c r="I140" s="107">
        <f>SUMIF('Form Responses Incoming'!$C$2:$C$10131,B140,'Form Responses Incoming'!$D$2:D10262)</f>
        <v>100</v>
      </c>
      <c r="J140" s="107">
        <f>SUMIF('Form Responses Usage'!$C$2:$C$11115,B140,'Form Responses Usage'!$D$2:$D$11115)</f>
        <v>30</v>
      </c>
      <c r="K140" s="108" t="str">
        <f t="shared" si="2"/>
        <v>OK</v>
      </c>
      <c r="L140" s="109" t="str">
        <f>IFERROR(VLOOKUP(B140,'Spesifikasi Bahan'!$A$2:$D$10074,4,FALSE),"")</f>
        <v>01640 - LobaChemie</v>
      </c>
      <c r="M140" s="110"/>
      <c r="N140" s="104" t="e">
        <v>#N/A</v>
      </c>
    </row>
    <row r="141">
      <c r="A141" s="104">
        <v>82.0</v>
      </c>
      <c r="B141" s="105" t="s">
        <v>612</v>
      </c>
      <c r="C141" s="106" t="str">
        <f>IFERROR(VLOOKUP(B141,'Spesifikasi Bahan'!$A$2:$B$10074,2,FALSE),"")</f>
        <v>Iron (III) Chloride Hexahydrate</v>
      </c>
      <c r="D141" s="106" t="str">
        <f>IFERROR(VLOOKUP(B141,'Spesifikasi Bahan'!$A$2:$C$10074,3,FALSE),"")</f>
        <v>FeCl3. 6H2O</v>
      </c>
      <c r="E141" s="106">
        <f>IFERROR(VLOOKUP(B141,'Spesifikasi Bahan'!$A$2:$E$10074,5,FALSE),"")</f>
        <v>250</v>
      </c>
      <c r="F141" s="106" t="str">
        <f>IFERROR(VLOOKUP(B141,'Spesifikasi Bahan'!$A$2:$F$10074,6,FALSE),"")</f>
        <v>gram</v>
      </c>
      <c r="G141" s="106">
        <f>IFERROR(VLOOKUP(B141,'Spesifikasi Bahan'!$A$2:$G$10074,7,FALSE),"")</f>
        <v>10</v>
      </c>
      <c r="H141" s="107">
        <f t="shared" si="3"/>
        <v>99.9</v>
      </c>
      <c r="I141" s="107">
        <f>SUMIF('Form Responses Incoming'!$C$2:$C$10131,B141,'Form Responses Incoming'!$D$2:D10263)</f>
        <v>250</v>
      </c>
      <c r="J141" s="107">
        <f>SUMIF('Form Responses Usage'!$C$2:$C$11115,B141,'Form Responses Usage'!$D$2:$D$11115)</f>
        <v>150.1</v>
      </c>
      <c r="K141" s="108" t="str">
        <f t="shared" si="2"/>
        <v>OK</v>
      </c>
      <c r="L141" s="109" t="str">
        <f>IFERROR(VLOOKUP(B141,'Spesifikasi Bahan'!$A$2:$D$10074,4,FALSE),"")</f>
        <v>A-2714 - Smart Lab</v>
      </c>
      <c r="M141" s="110"/>
      <c r="N141" s="104" t="e">
        <v>#N/A</v>
      </c>
    </row>
    <row r="142">
      <c r="A142" s="104">
        <v>82.0</v>
      </c>
      <c r="B142" s="105" t="s">
        <v>618</v>
      </c>
      <c r="C142" s="106" t="str">
        <f>IFERROR(VLOOKUP(B142,'Spesifikasi Bahan'!$A$2:$B$10074,2,FALSE),"")</f>
        <v>Hexadecane</v>
      </c>
      <c r="D142" s="106" t="str">
        <f>IFERROR(VLOOKUP(B142,'Spesifikasi Bahan'!$A$2:$C$10074,3,FALSE),"")</f>
        <v>-</v>
      </c>
      <c r="E142" s="106">
        <f>IFERROR(VLOOKUP(B142,'Spesifikasi Bahan'!$A$2:$E$10074,5,FALSE),"")</f>
        <v>0.1</v>
      </c>
      <c r="F142" s="106" t="str">
        <f>IFERROR(VLOOKUP(B142,'Spesifikasi Bahan'!$A$2:$F$10074,6,FALSE),"")</f>
        <v>gram</v>
      </c>
      <c r="G142" s="106">
        <f>IFERROR(VLOOKUP(B142,'Spesifikasi Bahan'!$A$2:$G$10074,7,FALSE),"")</f>
        <v>0.01</v>
      </c>
      <c r="H142" s="107">
        <f t="shared" si="3"/>
        <v>0.1</v>
      </c>
      <c r="I142" s="107">
        <f>SUMIF('Form Responses Incoming'!$C$2:$C$10131,B142,'Form Responses Incoming'!$D$2:D10264)</f>
        <v>0.1</v>
      </c>
      <c r="J142" s="107">
        <f>SUMIF('Form Responses Usage'!$C$2:$C$11115,B142,'Form Responses Usage'!$D$2:$D$11115)</f>
        <v>0</v>
      </c>
      <c r="K142" s="108" t="str">
        <f t="shared" si="2"/>
        <v>OK</v>
      </c>
      <c r="L142" s="109" t="str">
        <f>IFERROR(VLOOKUP(B142,'Spesifikasi Bahan'!$A$2:$D$10074,4,FALSE),"")</f>
        <v>CRM78293 - SigmaAldrich</v>
      </c>
      <c r="M142" s="110"/>
      <c r="N142" s="104" t="e">
        <v>#N/A</v>
      </c>
    </row>
    <row r="143">
      <c r="A143" s="104">
        <v>82.0</v>
      </c>
      <c r="B143" s="105" t="s">
        <v>623</v>
      </c>
      <c r="C143" s="106" t="str">
        <f>IFERROR(VLOOKUP(B143,'Spesifikasi Bahan'!$A$2:$B$10074,2,FALSE),"")</f>
        <v>Chromotropic Acid Disodium Salt Dihydrate </v>
      </c>
      <c r="D143" s="106" t="str">
        <f>IFERROR(VLOOKUP(B143,'Spesifikasi Bahan'!$A$2:$C$10074,3,FALSE),"")</f>
        <v>C10H6Na2O8S2.2H2O</v>
      </c>
      <c r="E143" s="106">
        <f>IFERROR(VLOOKUP(B143,'Spesifikasi Bahan'!$A$2:$E$10074,5,FALSE),"")</f>
        <v>10</v>
      </c>
      <c r="F143" s="106" t="str">
        <f>IFERROR(VLOOKUP(B143,'Spesifikasi Bahan'!$A$2:$F$10074,6,FALSE),"")</f>
        <v>gram </v>
      </c>
      <c r="G143" s="106">
        <f>IFERROR(VLOOKUP(B143,'Spesifikasi Bahan'!$A$2:$G$10074,7,FALSE),"")</f>
        <v>1</v>
      </c>
      <c r="H143" s="107">
        <f t="shared" si="3"/>
        <v>9.5497</v>
      </c>
      <c r="I143" s="107">
        <f>SUMIF('Form Responses Incoming'!$C$2:$C$10131,B143,'Form Responses Incoming'!$D$2:D10265)</f>
        <v>10</v>
      </c>
      <c r="J143" s="107">
        <f>SUMIF('Form Responses Usage'!$C$2:$C$11115,B143,'Form Responses Usage'!$D$2:$D$11115)</f>
        <v>0.4503</v>
      </c>
      <c r="K143" s="108" t="str">
        <f t="shared" si="2"/>
        <v>OK</v>
      </c>
      <c r="L143" s="109" t="str">
        <f>IFERROR(VLOOKUP(B143,'Spesifikasi Bahan'!$A$2:$D$10074,4,FALSE),"")</f>
        <v>02835 - LobaChemie</v>
      </c>
      <c r="M143" s="110"/>
      <c r="N143" s="104" t="e">
        <v>#N/A</v>
      </c>
    </row>
    <row r="144">
      <c r="A144" s="104">
        <v>82.0</v>
      </c>
      <c r="B144" s="105" t="s">
        <v>630</v>
      </c>
      <c r="C144" s="106" t="str">
        <f>IFERROR(VLOOKUP(B144,'Spesifikasi Bahan'!$A$2:$B$10074,2,FALSE),"")</f>
        <v>Zinc Sulfate Heptahydrate </v>
      </c>
      <c r="D144" s="106" t="str">
        <f>IFERROR(VLOOKUP(B144,'Spesifikasi Bahan'!$A$2:$C$10074,3,FALSE),"")</f>
        <v>ZnSO4.7H2O</v>
      </c>
      <c r="E144" s="106">
        <f>IFERROR(VLOOKUP(B144,'Spesifikasi Bahan'!$A$2:$E$10074,5,FALSE),"")</f>
        <v>500</v>
      </c>
      <c r="F144" s="106" t="str">
        <f>IFERROR(VLOOKUP(B144,'Spesifikasi Bahan'!$A$2:$F$10074,6,FALSE),"")</f>
        <v>gram </v>
      </c>
      <c r="G144" s="106">
        <f>IFERROR(VLOOKUP(B144,'Spesifikasi Bahan'!$A$2:$G$10074,7,FALSE),"")</f>
        <v>10</v>
      </c>
      <c r="H144" s="107">
        <f t="shared" si="3"/>
        <v>491.16</v>
      </c>
      <c r="I144" s="107">
        <f>SUMIF('Form Responses Incoming'!$C$2:$C$10131,B144,'Form Responses Incoming'!$D$2:D10266)</f>
        <v>500</v>
      </c>
      <c r="J144" s="107">
        <f>SUMIF('Form Responses Usage'!$C$2:$C$11115,B144,'Form Responses Usage'!$D$2:$D$11115)</f>
        <v>8.84</v>
      </c>
      <c r="K144" s="108" t="str">
        <f t="shared" si="2"/>
        <v>OK</v>
      </c>
      <c r="L144" s="109" t="str">
        <f>IFERROR(VLOOKUP(B144,'Spesifikasi Bahan'!$A$2:$D$10074,4,FALSE),"")</f>
        <v>1.08883.0500 - Supelco</v>
      </c>
      <c r="M144" s="110"/>
      <c r="N144" s="104" t="e">
        <v>#N/A</v>
      </c>
    </row>
    <row r="145">
      <c r="A145" s="104">
        <v>82.0</v>
      </c>
      <c r="B145" s="105" t="s">
        <v>963</v>
      </c>
      <c r="C145" s="106" t="str">
        <f>IFERROR(VLOOKUP(B145,'Spesifikasi Bahan'!$A$2:$B$10074,2,FALSE),"")</f>
        <v>Sulfide Standard Solution </v>
      </c>
      <c r="D145" s="106" t="str">
        <f>IFERROR(VLOOKUP(B145,'Spesifikasi Bahan'!$A$2:$C$10074,3,FALSE),"")</f>
        <v>-</v>
      </c>
      <c r="E145" s="106">
        <f>IFERROR(VLOOKUP(B145,'Spesifikasi Bahan'!$A$2:$E$10074,5,FALSE),"")</f>
        <v>100</v>
      </c>
      <c r="F145" s="106" t="str">
        <f>IFERROR(VLOOKUP(B145,'Spesifikasi Bahan'!$A$2:$F$10074,6,FALSE),"")</f>
        <v>mL</v>
      </c>
      <c r="G145" s="106">
        <f>IFERROR(VLOOKUP(B145,'Spesifikasi Bahan'!$A$2:$G$10074,7,FALSE),"")</f>
        <v>10</v>
      </c>
      <c r="H145" s="107">
        <f t="shared" si="3"/>
        <v>84</v>
      </c>
      <c r="I145" s="107">
        <f>SUMIF('Form Responses Incoming'!$C$2:$C$10131,B145,'Form Responses Incoming'!$D$2:D10264)</f>
        <v>100</v>
      </c>
      <c r="J145" s="107">
        <f>SUMIF('Form Responses Usage'!$C$2:$C$11115,B145,'Form Responses Usage'!$D$2:$D$11115)</f>
        <v>16</v>
      </c>
      <c r="K145" s="108" t="str">
        <f t="shared" si="2"/>
        <v>OK</v>
      </c>
      <c r="L145" s="109" t="str">
        <f>IFERROR(VLOOKUP(B145,'Spesifikasi Bahan'!$A$2:$D$10074,4,FALSE),"")</f>
        <v>ICS023 - Sigmaladrich</v>
      </c>
      <c r="M145" s="110"/>
      <c r="N145" s="104" t="e">
        <v>#N/A</v>
      </c>
    </row>
    <row r="146">
      <c r="A146" s="104">
        <v>82.0</v>
      </c>
      <c r="B146" s="105" t="s">
        <v>968</v>
      </c>
      <c r="C146" s="106" t="str">
        <f>IFERROR(VLOOKUP(B146,'Spesifikasi Bahan'!$A$2:$B$10074,2,FALSE),"")</f>
        <v>Arsenic Standard Solution</v>
      </c>
      <c r="D146" s="106" t="str">
        <f>IFERROR(VLOOKUP(B146,'Spesifikasi Bahan'!$A$2:$C$10074,3,FALSE),"")</f>
        <v>As</v>
      </c>
      <c r="E146" s="106">
        <f>IFERROR(VLOOKUP(B146,'Spesifikasi Bahan'!$A$2:$E$10074,5,FALSE),"")</f>
        <v>500</v>
      </c>
      <c r="F146" s="106" t="str">
        <f>IFERROR(VLOOKUP(B146,'Spesifikasi Bahan'!$A$2:$F$10074,6,FALSE),"")</f>
        <v>mL</v>
      </c>
      <c r="G146" s="106">
        <f>IFERROR(VLOOKUP(B146,'Spesifikasi Bahan'!$A$2:$G$10074,7,FALSE),"")</f>
        <v>100</v>
      </c>
      <c r="H146" s="107">
        <f t="shared" si="3"/>
        <v>497</v>
      </c>
      <c r="I146" s="107">
        <f>SUMIF('Form Responses Incoming'!$C$2:$C$10131,B146,'Form Responses Incoming'!$D$2:D10262)</f>
        <v>500</v>
      </c>
      <c r="J146" s="107">
        <f>SUMIF('Form Responses Usage'!$C$2:$C$11115,B146,'Form Responses Usage'!$D$2:$D$11115)</f>
        <v>3</v>
      </c>
      <c r="K146" s="108" t="str">
        <f t="shared" si="2"/>
        <v>OK</v>
      </c>
      <c r="L146" s="109" t="str">
        <f>IFERROR(VLOOKUP(B146,'Spesifikasi Bahan'!$A$2:$D$10074,4,FALSE),"")</f>
        <v>1.19773.0500 - SigmaAldrich</v>
      </c>
      <c r="M146" s="110"/>
      <c r="N146" s="104" t="e">
        <v>#N/A</v>
      </c>
    </row>
    <row r="147">
      <c r="A147" s="104">
        <v>82.0</v>
      </c>
      <c r="B147" s="105" t="s">
        <v>974</v>
      </c>
      <c r="C147" s="106" t="str">
        <f>IFERROR(VLOOKUP(B147,'Spesifikasi Bahan'!$A$2:$B$10074,2,FALSE),"")</f>
        <v>Boron Standard Solution </v>
      </c>
      <c r="D147" s="106" t="str">
        <f>IFERROR(VLOOKUP(B147,'Spesifikasi Bahan'!$A$2:$C$10074,3,FALSE),"")</f>
        <v>B</v>
      </c>
      <c r="E147" s="106">
        <f>IFERROR(VLOOKUP(B147,'Spesifikasi Bahan'!$A$2:$E$10074,5,FALSE),"")</f>
        <v>500</v>
      </c>
      <c r="F147" s="106" t="str">
        <f>IFERROR(VLOOKUP(B147,'Spesifikasi Bahan'!$A$2:$F$10074,6,FALSE),"")</f>
        <v>mL</v>
      </c>
      <c r="G147" s="106">
        <f>IFERROR(VLOOKUP(B147,'Spesifikasi Bahan'!$A$2:$G$10074,7,FALSE),"")</f>
        <v>100</v>
      </c>
      <c r="H147" s="107">
        <f t="shared" si="3"/>
        <v>496</v>
      </c>
      <c r="I147" s="107">
        <f>SUMIF('Form Responses Incoming'!$C$2:$C$10131,B147,'Form Responses Incoming'!$D$2:D10263)</f>
        <v>500</v>
      </c>
      <c r="J147" s="107">
        <f>SUMIF('Form Responses Usage'!$C$2:$C$11115,B147,'Form Responses Usage'!$D$2:$D$11115)</f>
        <v>4</v>
      </c>
      <c r="K147" s="108" t="str">
        <f t="shared" si="2"/>
        <v>OK</v>
      </c>
      <c r="L147" s="109" t="str">
        <f>IFERROR(VLOOKUP(B147,'Spesifikasi Bahan'!$A$2:$D$10074,4,FALSE),"")</f>
        <v>A400W - LobaChemie</v>
      </c>
      <c r="M147" s="110"/>
      <c r="N147" s="104" t="e">
        <v>#N/A</v>
      </c>
    </row>
    <row r="148">
      <c r="A148" s="104">
        <v>82.0</v>
      </c>
      <c r="B148" s="105" t="s">
        <v>980</v>
      </c>
      <c r="C148" s="106" t="str">
        <f>IFERROR(VLOOKUP(B148,'Spesifikasi Bahan'!$A$2:$B$10074,2,FALSE),"")</f>
        <v>Aromatic Standard</v>
      </c>
      <c r="D148" s="106" t="str">
        <f>IFERROR(VLOOKUP(B148,'Spesifikasi Bahan'!$A$2:$C$10074,3,FALSE),"")</f>
        <v>-</v>
      </c>
      <c r="E148" s="106">
        <f>IFERROR(VLOOKUP(B148,'Spesifikasi Bahan'!$A$2:$E$10074,5,FALSE),"")</f>
        <v>1</v>
      </c>
      <c r="F148" s="106" t="str">
        <f>IFERROR(VLOOKUP(B148,'Spesifikasi Bahan'!$A$2:$F$10074,6,FALSE),"")</f>
        <v>mL</v>
      </c>
      <c r="G148" s="106">
        <f>IFERROR(VLOOKUP(B148,'Spesifikasi Bahan'!$A$2:$G$10074,7,FALSE),"")</f>
        <v>1</v>
      </c>
      <c r="H148" s="107">
        <f t="shared" si="3"/>
        <v>1</v>
      </c>
      <c r="I148" s="107">
        <f>SUMIF('Form Responses Incoming'!$C$2:$C$10131,B148,'Form Responses Incoming'!$D$2:D10264)</f>
        <v>1</v>
      </c>
      <c r="J148" s="107">
        <f>SUMIF('Form Responses Usage'!$C$2:$C$11115,B148,'Form Responses Usage'!$D$2:$D$11115)</f>
        <v>0</v>
      </c>
      <c r="K148" s="108" t="str">
        <f t="shared" si="2"/>
        <v>OK</v>
      </c>
      <c r="L148" s="109" t="str">
        <f>IFERROR(VLOOKUP(B148,'Spesifikasi Bahan'!$A$2:$D$10074,4,FALSE),"")</f>
        <v>ASM-092-04 - AccuStandard</v>
      </c>
      <c r="M148" s="110"/>
      <c r="N148" s="104" t="e">
        <v>#N/A</v>
      </c>
    </row>
    <row r="149">
      <c r="A149" s="104">
        <v>82.0</v>
      </c>
      <c r="B149" s="105" t="s">
        <v>985</v>
      </c>
      <c r="C149" s="106" t="str">
        <f>IFERROR(VLOOKUP(B149,'Spesifikasi Bahan'!$A$2:$B$10074,2,FALSE),"")</f>
        <v>Turbidity 4000 NTU</v>
      </c>
      <c r="D149" s="106" t="str">
        <f>IFERROR(VLOOKUP(B149,'Spesifikasi Bahan'!$A$2:$C$10074,3,FALSE),"")</f>
        <v>-</v>
      </c>
      <c r="E149" s="106">
        <f>IFERROR(VLOOKUP(B149,'Spesifikasi Bahan'!$A$2:$E$10074,5,FALSE),"")</f>
        <v>100</v>
      </c>
      <c r="F149" s="106" t="str">
        <f>IFERROR(VLOOKUP(B149,'Spesifikasi Bahan'!$A$2:$F$10074,6,FALSE),"")</f>
        <v>mL</v>
      </c>
      <c r="G149" s="106">
        <f>IFERROR(VLOOKUP(B149,'Spesifikasi Bahan'!$A$2:$G$10074,7,FALSE),"")</f>
        <v>10</v>
      </c>
      <c r="H149" s="107">
        <f t="shared" si="3"/>
        <v>100</v>
      </c>
      <c r="I149" s="107">
        <f>SUMIF('Form Responses Incoming'!$C$2:$C$10131,B149,'Form Responses Incoming'!$D$2:D10265)</f>
        <v>100</v>
      </c>
      <c r="J149" s="107">
        <f>SUMIF('Form Responses Usage'!$C$2:$C$11115,B149,'Form Responses Usage'!$D$2:$D$11115)</f>
        <v>0</v>
      </c>
      <c r="K149" s="108" t="str">
        <f t="shared" si="2"/>
        <v>OK</v>
      </c>
      <c r="L149" s="109" t="str">
        <f>IFERROR(VLOOKUP(B149,'Spesifikasi Bahan'!$A$2:$D$10074,4,FALSE),"")</f>
        <v>LRAD9262 - Supelco</v>
      </c>
      <c r="M149" s="110"/>
      <c r="N149" s="104" t="e">
        <v>#N/A</v>
      </c>
    </row>
    <row r="150">
      <c r="A150" s="104">
        <v>82.0</v>
      </c>
      <c r="B150" s="105" t="s">
        <v>991</v>
      </c>
      <c r="C150" s="106" t="str">
        <f>IFERROR(VLOOKUP(B150,'Spesifikasi Bahan'!$A$2:$B$10074,2,FALSE),"")</f>
        <v>Nitrate Standard Solution</v>
      </c>
      <c r="D150" s="106" t="str">
        <f>IFERROR(VLOOKUP(B150,'Spesifikasi Bahan'!$A$2:$C$10074,3,FALSE),"")</f>
        <v>NO3-N</v>
      </c>
      <c r="E150" s="106">
        <f>IFERROR(VLOOKUP(B150,'Spesifikasi Bahan'!$A$2:$E$10074,5,FALSE),"")</f>
        <v>100</v>
      </c>
      <c r="F150" s="106" t="str">
        <f>IFERROR(VLOOKUP(B150,'Spesifikasi Bahan'!$A$2:$F$10074,6,FALSE),"")</f>
        <v>mL</v>
      </c>
      <c r="G150" s="106">
        <f>IFERROR(VLOOKUP(B150,'Spesifikasi Bahan'!$A$2:$G$10074,7,FALSE),"")</f>
        <v>10</v>
      </c>
      <c r="H150" s="107">
        <f t="shared" si="3"/>
        <v>78</v>
      </c>
      <c r="I150" s="107">
        <f>SUMIF('Form Responses Incoming'!$C$2:$C$10131,B150,'Form Responses Incoming'!$D$2:D10266)</f>
        <v>100</v>
      </c>
      <c r="J150" s="107">
        <f>SUMIF('Form Responses Usage'!$C$2:$C$11115,B150,'Form Responses Usage'!$D$2:$D$11115)</f>
        <v>22</v>
      </c>
      <c r="K150" s="108" t="str">
        <f t="shared" si="2"/>
        <v>OK</v>
      </c>
      <c r="L150" s="109" t="str">
        <f>IFERROR(VLOOKUP(B150,'Spesifikasi Bahan'!$A$2:$D$10074,4,FALSE),"")</f>
        <v>1.25040.0100 - Supelco</v>
      </c>
      <c r="M150" s="110"/>
      <c r="N150" s="104" t="e">
        <v>#N/A</v>
      </c>
    </row>
    <row r="151">
      <c r="A151" s="104">
        <v>82.0</v>
      </c>
      <c r="B151" s="105" t="s">
        <v>998</v>
      </c>
      <c r="C151" s="106" t="str">
        <f>IFERROR(VLOOKUP(B151,'Spesifikasi Bahan'!$A$2:$B$10074,2,FALSE),"")</f>
        <v>Total Dissolved Solids calibration standard</v>
      </c>
      <c r="D151" s="106" t="str">
        <f>IFERROR(VLOOKUP(B151,'Spesifikasi Bahan'!$A$2:$C$10074,3,FALSE),"")</f>
        <v>TDS</v>
      </c>
      <c r="E151" s="106">
        <f>IFERROR(VLOOKUP(B151,'Spesifikasi Bahan'!$A$2:$E$10074,5,FALSE),"")</f>
        <v>100</v>
      </c>
      <c r="F151" s="106" t="str">
        <f>IFERROR(VLOOKUP(B151,'Spesifikasi Bahan'!$A$2:$F$10074,6,FALSE),"")</f>
        <v>mL</v>
      </c>
      <c r="G151" s="106">
        <f>IFERROR(VLOOKUP(B151,'Spesifikasi Bahan'!$A$2:$G$10074,7,FALSE),"")</f>
        <v>10</v>
      </c>
      <c r="H151" s="107">
        <f t="shared" si="3"/>
        <v>200</v>
      </c>
      <c r="I151" s="107">
        <f>SUMIF('Form Responses Incoming'!$C$2:$C$10131,B151,'Form Responses Incoming'!$D$2:D10267)</f>
        <v>200</v>
      </c>
      <c r="J151" s="107">
        <f>SUMIF('Form Responses Usage'!$C$2:$C$11115,B151,'Form Responses Usage'!$D$2:$D$11115)</f>
        <v>0</v>
      </c>
      <c r="K151" s="108" t="str">
        <f t="shared" si="2"/>
        <v>OK</v>
      </c>
      <c r="L151" s="109" t="str">
        <f>IFERROR(VLOOKUP(B151,'Spesifikasi Bahan'!$A$2:$D$10074,4,FALSE),"")</f>
        <v>TDS1000 - Sigmaaldrich</v>
      </c>
      <c r="M151" s="110"/>
      <c r="N151" s="104" t="e">
        <v>#N/A</v>
      </c>
    </row>
    <row r="152">
      <c r="A152" s="104">
        <v>82.0</v>
      </c>
      <c r="B152" s="105" t="s">
        <v>1006</v>
      </c>
      <c r="C152" s="106" t="str">
        <f>IFERROR(VLOOKUP(B152,'Spesifikasi Bahan'!$A$2:$B$10074,2,FALSE),"")</f>
        <v>Pyridine 99.5%</v>
      </c>
      <c r="D152" s="106" t="str">
        <f>IFERROR(VLOOKUP(B152,'Spesifikasi Bahan'!$A$2:$C$10074,3,FALSE),"")</f>
        <v>C5H5N</v>
      </c>
      <c r="E152" s="106">
        <f>IFERROR(VLOOKUP(B152,'Spesifikasi Bahan'!$A$2:$E$10074,5,FALSE),"")</f>
        <v>500</v>
      </c>
      <c r="F152" s="106" t="str">
        <f>IFERROR(VLOOKUP(B152,'Spesifikasi Bahan'!$A$2:$F$10074,6,FALSE),"")</f>
        <v>mL</v>
      </c>
      <c r="G152" s="106">
        <f>IFERROR(VLOOKUP(B152,'Spesifikasi Bahan'!$A$2:$G$10074,7,FALSE),"")</f>
        <v>100</v>
      </c>
      <c r="H152" s="107">
        <f t="shared" si="3"/>
        <v>350</v>
      </c>
      <c r="I152" s="107">
        <f>SUMIF('Form Responses Incoming'!$C$2:$C$10131,B152,'Form Responses Incoming'!$D$2:D10268)</f>
        <v>500</v>
      </c>
      <c r="J152" s="107">
        <f>SUMIF('Form Responses Usage'!$C$2:$C$11115,B152,'Form Responses Usage'!$D$2:$D$11115)</f>
        <v>150</v>
      </c>
      <c r="K152" s="108" t="str">
        <f t="shared" si="2"/>
        <v>OK</v>
      </c>
      <c r="L152" s="109" t="str">
        <f>IFERROR(VLOOKUP(B152,'Spesifikasi Bahan'!$A$2:$D$10074,4,FALSE),"")</f>
        <v>00281 - LobaChemie</v>
      </c>
      <c r="M152" s="110"/>
      <c r="N152" s="104" t="e">
        <v>#N/A</v>
      </c>
    </row>
    <row r="153">
      <c r="A153" s="104">
        <v>82.0</v>
      </c>
      <c r="B153" s="105" t="s">
        <v>1012</v>
      </c>
      <c r="C153" s="106" t="str">
        <f>IFERROR(VLOOKUP(B153,'Spesifikasi Bahan'!$A$2:$B$10074,2,FALSE),"")</f>
        <v>Total Phenolics 1000 mg/L</v>
      </c>
      <c r="D153" s="106" t="str">
        <f>IFERROR(VLOOKUP(B153,'Spesifikasi Bahan'!$A$2:$C$10074,3,FALSE),"")</f>
        <v>-</v>
      </c>
      <c r="E153" s="106">
        <f>IFERROR(VLOOKUP(B153,'Spesifikasi Bahan'!$A$2:$E$10074,5,FALSE),"")</f>
        <v>100</v>
      </c>
      <c r="F153" s="106" t="str">
        <f>IFERROR(VLOOKUP(B153,'Spesifikasi Bahan'!$A$2:$F$10074,6,FALSE),"")</f>
        <v>mL</v>
      </c>
      <c r="G153" s="106">
        <f>IFERROR(VLOOKUP(B153,'Spesifikasi Bahan'!$A$2:$G$10074,7,FALSE),"")</f>
        <v>10</v>
      </c>
      <c r="H153" s="107">
        <f t="shared" si="3"/>
        <v>100</v>
      </c>
      <c r="I153" s="107">
        <f>SUMIF('Form Responses Incoming'!$C$2:$C$10131,B153,'Form Responses Incoming'!$D$2:D10269)</f>
        <v>100</v>
      </c>
      <c r="J153" s="107">
        <f>SUMIF('Form Responses Usage'!$C$2:$C$11115,B153,'Form Responses Usage'!$D$2:$D$11115)</f>
        <v>0</v>
      </c>
      <c r="K153" s="108" t="str">
        <f t="shared" si="2"/>
        <v>OK</v>
      </c>
      <c r="L153" s="109" t="str">
        <f>IFERROR(VLOOKUP(B153,'Spesifikasi Bahan'!$A$2:$D$10074,4,FALSE),"")</f>
        <v>TPC1000 - SigmaAldrich</v>
      </c>
      <c r="M153" s="110"/>
      <c r="N153" s="104" t="e">
        <v>#N/A</v>
      </c>
    </row>
    <row r="154">
      <c r="A154" s="104">
        <v>82.0</v>
      </c>
      <c r="B154" s="105" t="s">
        <v>1018</v>
      </c>
      <c r="C154" s="106" t="str">
        <f>IFERROR(VLOOKUP(B154,'Spesifikasi Bahan'!$A$2:$B$10074,2,FALSE),"")</f>
        <v>Toluene 99.5%</v>
      </c>
      <c r="D154" s="106" t="str">
        <f>IFERROR(VLOOKUP(B154,'Spesifikasi Bahan'!$A$2:$C$10074,3,FALSE),"")</f>
        <v>C7H8</v>
      </c>
      <c r="E154" s="106">
        <f>IFERROR(VLOOKUP(B154,'Spesifikasi Bahan'!$A$2:$E$10074,5,FALSE),"")</f>
        <v>2500</v>
      </c>
      <c r="F154" s="106" t="str">
        <f>IFERROR(VLOOKUP(B154,'Spesifikasi Bahan'!$A$2:$F$10074,6,FALSE),"")</f>
        <v>mL</v>
      </c>
      <c r="G154" s="106">
        <f>IFERROR(VLOOKUP(B154,'Spesifikasi Bahan'!$A$2:$G$10074,7,FALSE),"")</f>
        <v>100</v>
      </c>
      <c r="H154" s="107">
        <f t="shared" si="3"/>
        <v>2498.5</v>
      </c>
      <c r="I154" s="107">
        <f>SUMIF('Form Responses Incoming'!$C$2:$C$10131,B154,'Form Responses Incoming'!$D$2:D10270)</f>
        <v>2500</v>
      </c>
      <c r="J154" s="107">
        <f>SUMIF('Form Responses Usage'!$C$2:$C$11115,B154,'Form Responses Usage'!$D$2:$D$11115)</f>
        <v>1.5</v>
      </c>
      <c r="K154" s="108" t="str">
        <f t="shared" si="2"/>
        <v>OK</v>
      </c>
      <c r="L154" s="109" t="str">
        <f>IFERROR(VLOOKUP(B154,'Spesifikasi Bahan'!$A$2:$D$10074,4,FALSE),"")</f>
        <v>00326 - LobaChemie </v>
      </c>
      <c r="M154" s="110"/>
      <c r="N154" s="104" t="e">
        <v>#N/A</v>
      </c>
    </row>
    <row r="155">
      <c r="A155" s="104">
        <v>82.0</v>
      </c>
      <c r="B155" s="105" t="s">
        <v>1024</v>
      </c>
      <c r="C155" s="106" t="str">
        <f>IFERROR(VLOOKUP(B155,'Spesifikasi Bahan'!$A$2:$B$10074,2,FALSE),"")</f>
        <v>Benzene 99.9%</v>
      </c>
      <c r="D155" s="106" t="str">
        <f>IFERROR(VLOOKUP(B155,'Spesifikasi Bahan'!$A$2:$C$10074,3,FALSE),"")</f>
        <v>C6H6</v>
      </c>
      <c r="E155" s="106">
        <f>IFERROR(VLOOKUP(B155,'Spesifikasi Bahan'!$A$2:$E$10074,5,FALSE),"")</f>
        <v>1000</v>
      </c>
      <c r="F155" s="106" t="str">
        <f>IFERROR(VLOOKUP(B155,'Spesifikasi Bahan'!$A$2:$F$10074,6,FALSE),"")</f>
        <v>mL</v>
      </c>
      <c r="G155" s="106">
        <f>IFERROR(VLOOKUP(B155,'Spesifikasi Bahan'!$A$2:$G$10074,7,FALSE),"")</f>
        <v>100</v>
      </c>
      <c r="H155" s="107">
        <f t="shared" si="3"/>
        <v>999</v>
      </c>
      <c r="I155" s="107">
        <f>SUMIF('Form Responses Incoming'!$C$2:$C$10131,B155,'Form Responses Incoming'!$D$2:D10271)</f>
        <v>1000</v>
      </c>
      <c r="J155" s="107">
        <f>SUMIF('Form Responses Usage'!$C$2:$C$11115,B155,'Form Responses Usage'!$D$2:$D$11115)</f>
        <v>1</v>
      </c>
      <c r="K155" s="108" t="str">
        <f t="shared" si="2"/>
        <v>OK</v>
      </c>
      <c r="L155" s="109" t="str">
        <f>IFERROR(VLOOKUP(B155,'Spesifikasi Bahan'!$A$2:$D$10074,4,FALSE),"")</f>
        <v>0040A - LobaChemie </v>
      </c>
      <c r="M155" s="110"/>
      <c r="N155" s="104" t="e">
        <v>#N/A</v>
      </c>
    </row>
    <row r="156">
      <c r="A156" s="104">
        <v>82.0</v>
      </c>
      <c r="B156" s="105" t="s">
        <v>1030</v>
      </c>
      <c r="C156" s="106" t="str">
        <f>IFERROR(VLOOKUP(B156,'Spesifikasi Bahan'!$A$2:$B$10074,2,FALSE),"")</f>
        <v>Perchloric Acid 70%</v>
      </c>
      <c r="D156" s="106" t="str">
        <f>IFERROR(VLOOKUP(B156,'Spesifikasi Bahan'!$A$2:$C$10074,3,FALSE),"")</f>
        <v>HClO4</v>
      </c>
      <c r="E156" s="106">
        <f>IFERROR(VLOOKUP(B156,'Spesifikasi Bahan'!$A$2:$E$10074,5,FALSE),"")</f>
        <v>2500</v>
      </c>
      <c r="F156" s="106" t="str">
        <f>IFERROR(VLOOKUP(B156,'Spesifikasi Bahan'!$A$2:$F$10074,6,FALSE),"")</f>
        <v>mL</v>
      </c>
      <c r="G156" s="106">
        <f>IFERROR(VLOOKUP(B156,'Spesifikasi Bahan'!$A$2:$G$10074,7,FALSE),"")</f>
        <v>100</v>
      </c>
      <c r="H156" s="107">
        <f t="shared" si="3"/>
        <v>2175</v>
      </c>
      <c r="I156" s="107">
        <f>SUMIF('Form Responses Incoming'!$C$2:$C$10131,B156,'Form Responses Incoming'!$D$2:D10272)</f>
        <v>2500</v>
      </c>
      <c r="J156" s="107">
        <f>SUMIF('Form Responses Usage'!$C$2:$C$11115,B156,'Form Responses Usage'!$D$2:$D$11115)</f>
        <v>325</v>
      </c>
      <c r="K156" s="108" t="str">
        <f t="shared" si="2"/>
        <v>OK</v>
      </c>
      <c r="L156" s="109" t="str">
        <f>IFERROR(VLOOKUP(B156,'Spesifikasi Bahan'!$A$2:$D$10074,4,FALSE),"")</f>
        <v>0241F - LobaChemie </v>
      </c>
      <c r="M156" s="110"/>
      <c r="N156" s="104" t="e">
        <v>#N/A</v>
      </c>
    </row>
    <row r="157">
      <c r="A157" s="104">
        <v>82.0</v>
      </c>
      <c r="B157" s="105" t="s">
        <v>1037</v>
      </c>
      <c r="C157" s="106" t="str">
        <f>IFERROR(VLOOKUP(B157,'Spesifikasi Bahan'!$A$2:$B$10074,2,FALSE),"")</f>
        <v>Xylenes 98.5%</v>
      </c>
      <c r="D157" s="106" t="str">
        <f>IFERROR(VLOOKUP(B157,'Spesifikasi Bahan'!$A$2:$C$10074,3,FALSE),"")</f>
        <v>C6H4(CH3)2</v>
      </c>
      <c r="E157" s="106">
        <f>IFERROR(VLOOKUP(B157,'Spesifikasi Bahan'!$A$2:$E$10074,5,FALSE),"")</f>
        <v>4000</v>
      </c>
      <c r="F157" s="106" t="str">
        <f>IFERROR(VLOOKUP(B157,'Spesifikasi Bahan'!$A$2:$F$10074,6,FALSE),"")</f>
        <v>mL</v>
      </c>
      <c r="G157" s="106">
        <f>IFERROR(VLOOKUP(B157,'Spesifikasi Bahan'!$A$2:$G$10074,7,FALSE),"")</f>
        <v>100</v>
      </c>
      <c r="H157" s="107">
        <f t="shared" si="3"/>
        <v>3999.5</v>
      </c>
      <c r="I157" s="107">
        <f>SUMIF('Form Responses Incoming'!$C$2:$C$10131,B157,'Form Responses Incoming'!$D$2:D10274)</f>
        <v>4000</v>
      </c>
      <c r="J157" s="107">
        <f>SUMIF('Form Responses Usage'!$C$2:$C$11115,B157,'Form Responses Usage'!$D$2:$D$11115)</f>
        <v>0.5</v>
      </c>
      <c r="K157" s="108" t="str">
        <f t="shared" si="2"/>
        <v>OK</v>
      </c>
      <c r="L157" s="109" t="str">
        <f>IFERROR(VLOOKUP(B157,'Spesifikasi Bahan'!$A$2:$D$10074,4,FALSE),"")</f>
        <v>1330207 - MTEDIA</v>
      </c>
      <c r="M157" s="110"/>
      <c r="N157" s="104" t="e">
        <v>#N/A</v>
      </c>
    </row>
    <row r="158">
      <c r="A158" s="104">
        <v>82.0</v>
      </c>
      <c r="B158" s="105" t="s">
        <v>1043</v>
      </c>
      <c r="C158" s="106" t="str">
        <f>IFERROR(VLOOKUP(B158,'Spesifikasi Bahan'!$A$2:$B$10074,2,FALSE),"")</f>
        <v>Styrene</v>
      </c>
      <c r="D158" s="106" t="str">
        <f>IFERROR(VLOOKUP(B158,'Spesifikasi Bahan'!$A$2:$C$10074,3,FALSE),"")</f>
        <v>-</v>
      </c>
      <c r="E158" s="106">
        <f>IFERROR(VLOOKUP(B158,'Spesifikasi Bahan'!$A$2:$E$10074,5,FALSE),"")</f>
        <v>100</v>
      </c>
      <c r="F158" s="106" t="str">
        <f>IFERROR(VLOOKUP(B158,'Spesifikasi Bahan'!$A$2:$F$10074,6,FALSE),"")</f>
        <v>mL</v>
      </c>
      <c r="G158" s="106">
        <f>IFERROR(VLOOKUP(B158,'Spesifikasi Bahan'!$A$2:$G$10074,7,FALSE),"")</f>
        <v>10</v>
      </c>
      <c r="H158" s="107">
        <f t="shared" si="3"/>
        <v>100</v>
      </c>
      <c r="I158" s="107">
        <f>SUMIF('Form Responses Incoming'!$C$2:$C$10131,B158,'Form Responses Incoming'!$D$2:D10275)</f>
        <v>100</v>
      </c>
      <c r="J158" s="107">
        <f>SUMIF('Form Responses Usage'!$C$2:$C$11115,B158,'Form Responses Usage'!$D$2:$D$11115)</f>
        <v>0</v>
      </c>
      <c r="K158" s="108" t="str">
        <f t="shared" si="2"/>
        <v>OK</v>
      </c>
      <c r="L158" s="109" t="str">
        <f>IFERROR(VLOOKUP(B158,'Spesifikasi Bahan'!$A$2:$D$10074,4,FALSE),"")</f>
        <v>8076790100 - SigmaAldrich</v>
      </c>
      <c r="M158" s="110"/>
      <c r="N158" s="104" t="e">
        <v>#N/A</v>
      </c>
    </row>
    <row r="159">
      <c r="A159" s="104">
        <v>82.0</v>
      </c>
      <c r="B159" s="105" t="s">
        <v>637</v>
      </c>
      <c r="C159" s="106" t="str">
        <f>IFERROR(VLOOKUP(B159,'Spesifikasi Bahan'!$A$2:$B$10074,2,FALSE),"")</f>
        <v>Escherichia Coli WDCM 000136 Vitroids </v>
      </c>
      <c r="D159" s="106" t="str">
        <f>IFERROR(VLOOKUP(B159,'Spesifikasi Bahan'!$A$2:$C$10074,3,FALSE),"")</f>
        <v>-</v>
      </c>
      <c r="E159" s="106">
        <f>IFERROR(VLOOKUP(B159,'Spesifikasi Bahan'!$A$2:$E$10074,5,FALSE),"")</f>
        <v>10</v>
      </c>
      <c r="F159" s="106" t="str">
        <f>IFERROR(VLOOKUP(B159,'Spesifikasi Bahan'!$A$2:$F$10074,6,FALSE),"")</f>
        <v>Pcs</v>
      </c>
      <c r="G159" s="106">
        <f>IFERROR(VLOOKUP(B159,'Spesifikasi Bahan'!$A$2:$G$10074,7,FALSE),"")</f>
        <v>1</v>
      </c>
      <c r="H159" s="107">
        <f t="shared" si="3"/>
        <v>8</v>
      </c>
      <c r="I159" s="107">
        <f>SUMIF('Form Responses Incoming'!$C$2:$C$10131,B159,'Form Responses Incoming'!$D$2:D10273)</f>
        <v>10</v>
      </c>
      <c r="J159" s="107">
        <f>SUMIF('Form Responses Usage'!$C$2:$C$11115,B159,'Form Responses Usage'!$D$2:$D$11115)</f>
        <v>2</v>
      </c>
      <c r="K159" s="108" t="str">
        <f t="shared" si="2"/>
        <v>OK</v>
      </c>
      <c r="L159" s="109" t="str">
        <f>IFERROR(VLOOKUP(B159,'Spesifikasi Bahan'!$A$2:$D$10074,4,FALSE),"")</f>
        <v>VT000136-10EA - SigmaAldrich</v>
      </c>
      <c r="M159" s="110"/>
      <c r="N159" s="104" t="e">
        <v>#N/A</v>
      </c>
    </row>
    <row r="160">
      <c r="A160" s="104">
        <v>82.0</v>
      </c>
      <c r="B160" s="105" t="s">
        <v>643</v>
      </c>
      <c r="C160" s="106" t="str">
        <f>IFERROR(VLOOKUP(B160,'Spesifikasi Bahan'!$A$2:$B$10074,2,FALSE),"")</f>
        <v>Lead (II) Carbonate</v>
      </c>
      <c r="D160" s="106" t="str">
        <f>IFERROR(VLOOKUP(B160,'Spesifikasi Bahan'!$A$2:$C$10074,3,FALSE),"")</f>
        <v>PbCO3</v>
      </c>
      <c r="E160" s="106">
        <f>IFERROR(VLOOKUP(B160,'Spesifikasi Bahan'!$A$2:$E$10074,5,FALSE),"")</f>
        <v>250</v>
      </c>
      <c r="F160" s="106" t="str">
        <f>IFERROR(VLOOKUP(B160,'Spesifikasi Bahan'!$A$2:$F$10074,6,FALSE),"")</f>
        <v>gram</v>
      </c>
      <c r="G160" s="106">
        <f>IFERROR(VLOOKUP(B160,'Spesifikasi Bahan'!$A$2:$G$10074,7,FALSE),"")</f>
        <v>10</v>
      </c>
      <c r="H160" s="107">
        <f t="shared" si="3"/>
        <v>250</v>
      </c>
      <c r="I160" s="107">
        <f>SUMIF('Form Responses Incoming'!$C$2:$C$10131,B160,'Form Responses Incoming'!$D$2:D10274)</f>
        <v>250</v>
      </c>
      <c r="J160" s="107">
        <f>SUMIF('Form Responses Usage'!$C$2:$C$11115,B160,'Form Responses Usage'!$D$2:$D$11115)</f>
        <v>0</v>
      </c>
      <c r="K160" s="108" t="str">
        <f t="shared" si="2"/>
        <v>OK</v>
      </c>
      <c r="L160" s="109" t="str">
        <f>IFERROR(VLOOKUP(B160,'Spesifikasi Bahan'!$A$2:$D$10074,4,FALSE),"")</f>
        <v>1073810250 - SigmaAldrich</v>
      </c>
      <c r="M160" s="110"/>
      <c r="N160" s="104" t="e">
        <v>#N/A</v>
      </c>
    </row>
    <row r="161">
      <c r="A161" s="104">
        <v>82.0</v>
      </c>
      <c r="B161" s="105" t="s">
        <v>649</v>
      </c>
      <c r="C161" s="106" t="str">
        <f>IFERROR(VLOOKUP(B161,'Spesifikasi Bahan'!$A$2:$B$10074,2,FALSE),"")</f>
        <v>Polyseed</v>
      </c>
      <c r="D161" s="106" t="str">
        <f>IFERROR(VLOOKUP(B161,'Spesifikasi Bahan'!$A$2:$C$10074,3,FALSE),"")</f>
        <v>-</v>
      </c>
      <c r="E161" s="106">
        <f>IFERROR(VLOOKUP(B161,'Spesifikasi Bahan'!$A$2:$E$10074,5,FALSE),"")</f>
        <v>50</v>
      </c>
      <c r="F161" s="106" t="str">
        <f>IFERROR(VLOOKUP(B161,'Spesifikasi Bahan'!$A$2:$F$10074,6,FALSE),"")</f>
        <v>Capsules</v>
      </c>
      <c r="G161" s="106">
        <f>IFERROR(VLOOKUP(B161,'Spesifikasi Bahan'!$A$2:$G$10074,7,FALSE),"")</f>
        <v>10</v>
      </c>
      <c r="H161" s="107">
        <f t="shared" si="3"/>
        <v>49</v>
      </c>
      <c r="I161" s="107">
        <f>SUMIF('Form Responses Incoming'!$C$2:$C$10131,B161,'Form Responses Incoming'!$D$2:D10275)</f>
        <v>50</v>
      </c>
      <c r="J161" s="107">
        <f>SUMIF('Form Responses Usage'!$C$2:$C$11115,B161,'Form Responses Usage'!$D$2:$D$11115)</f>
        <v>1</v>
      </c>
      <c r="K161" s="108" t="str">
        <f t="shared" si="2"/>
        <v>OK</v>
      </c>
      <c r="L161" s="109" t="str">
        <f>IFERROR(VLOOKUP(B161,'Spesifikasi Bahan'!$A$2:$D$10074,4,FALSE),"")</f>
        <v/>
      </c>
      <c r="M161" s="110"/>
      <c r="N161" s="104" t="e">
        <v>#N/A</v>
      </c>
    </row>
    <row r="162">
      <c r="A162" s="104">
        <v>82.0</v>
      </c>
      <c r="B162" s="105" t="s">
        <v>653</v>
      </c>
      <c r="C162" s="106" t="str">
        <f>IFERROR(VLOOKUP(B162,'Spesifikasi Bahan'!$A$2:$B$10074,2,FALSE),"")</f>
        <v>Methyl Orange Indicator ACS</v>
      </c>
      <c r="D162" s="106" t="str">
        <f>IFERROR(VLOOKUP(B162,'Spesifikasi Bahan'!$A$2:$C$10074,3,FALSE),"")</f>
        <v>C14H14N3NaO3S</v>
      </c>
      <c r="E162" s="106">
        <f>IFERROR(VLOOKUP(B162,'Spesifikasi Bahan'!$A$2:$E$10074,5,FALSE),"")</f>
        <v>25</v>
      </c>
      <c r="F162" s="106" t="str">
        <f>IFERROR(VLOOKUP(B162,'Spesifikasi Bahan'!$A$2:$F$10074,6,FALSE),"")</f>
        <v>gram</v>
      </c>
      <c r="G162" s="106">
        <f>IFERROR(VLOOKUP(B162,'Spesifikasi Bahan'!$A$2:$G$10074,7,FALSE),"")</f>
        <v>10</v>
      </c>
      <c r="H162" s="107">
        <f t="shared" si="3"/>
        <v>25</v>
      </c>
      <c r="I162" s="107">
        <f>SUMIF('Form Responses Incoming'!$C$2:$C$10131,B162,'Form Responses Incoming'!$D$2:D10276)</f>
        <v>25</v>
      </c>
      <c r="J162" s="107">
        <f>SUMIF('Form Responses Usage'!$C$2:$C$11115,B162,'Form Responses Usage'!$D$2:$D$11115)</f>
        <v>0</v>
      </c>
      <c r="K162" s="108" t="str">
        <f t="shared" si="2"/>
        <v>OK</v>
      </c>
      <c r="L162" s="109" t="str">
        <f>IFERROR(VLOOKUP(B162,'Spesifikasi Bahan'!$A$2:$D$10074,4,FALSE),"")</f>
        <v>04670 - LobaChemie</v>
      </c>
      <c r="M162" s="110"/>
      <c r="N162" s="104" t="e">
        <v>#N/A</v>
      </c>
    </row>
    <row r="163">
      <c r="A163" s="104">
        <v>82.0</v>
      </c>
      <c r="B163" s="105" t="s">
        <v>663</v>
      </c>
      <c r="C163" s="106" t="str">
        <f>IFERROR(VLOOKUP(B163,'Spesifikasi Bahan'!$A$2:$B$10074,2,FALSE),"")</f>
        <v>Pseudomonas paraeruginosa WDCM 00026 Vitroids</v>
      </c>
      <c r="D163" s="106" t="str">
        <f>IFERROR(VLOOKUP(B163,'Spesifikasi Bahan'!$A$2:$C$10074,3,FALSE),"")</f>
        <v>-</v>
      </c>
      <c r="E163" s="106">
        <f>IFERROR(VLOOKUP(B163,'Spesifikasi Bahan'!$A$2:$E$10074,5,FALSE),"")</f>
        <v>10</v>
      </c>
      <c r="F163" s="106" t="str">
        <f>IFERROR(VLOOKUP(B163,'Spesifikasi Bahan'!$A$2:$F$10074,6,FALSE),"")</f>
        <v>Pcs</v>
      </c>
      <c r="G163" s="106">
        <f>IFERROR(VLOOKUP(B163,'Spesifikasi Bahan'!$A$2:$G$10074,7,FALSE),"")</f>
        <v>1</v>
      </c>
      <c r="H163" s="107">
        <f t="shared" si="3"/>
        <v>10</v>
      </c>
      <c r="I163" s="107">
        <f>SUMIF('Form Responses Incoming'!$C$2:$C$10131,B163,'Form Responses Incoming'!$D$2:D10277)</f>
        <v>10</v>
      </c>
      <c r="J163" s="107">
        <f>SUMIF('Form Responses Usage'!$C$2:$C$11115,B163,'Form Responses Usage'!$D$2:$D$11115)</f>
        <v>0</v>
      </c>
      <c r="K163" s="108" t="str">
        <f t="shared" si="2"/>
        <v>OK</v>
      </c>
      <c r="L163" s="109" t="str">
        <f>IFERROR(VLOOKUP(B163,'Spesifikasi Bahan'!$A$2:$D$10074,4,FALSE),"")</f>
        <v>VT000266-10EA - SigmaAldrich</v>
      </c>
      <c r="M163" s="110"/>
      <c r="N163" s="104" t="e">
        <v>#N/A</v>
      </c>
    </row>
    <row r="164">
      <c r="A164" s="104">
        <v>82.0</v>
      </c>
      <c r="B164" s="105" t="s">
        <v>668</v>
      </c>
      <c r="C164" s="106" t="str">
        <f>IFERROR(VLOOKUP(B164,'Spesifikasi Bahan'!$A$2:$B$10074,2,FALSE),"")</f>
        <v>Sodium sulfide nonahydrate</v>
      </c>
      <c r="D164" s="106" t="str">
        <f>IFERROR(VLOOKUP(B164,'Spesifikasi Bahan'!$A$2:$C$10074,3,FALSE),"")</f>
        <v>Na2S.9H2O</v>
      </c>
      <c r="E164" s="106">
        <f>IFERROR(VLOOKUP(B164,'Spesifikasi Bahan'!$A$2:$E$10074,5,FALSE),"")</f>
        <v>500</v>
      </c>
      <c r="F164" s="106" t="str">
        <f>IFERROR(VLOOKUP(B164,'Spesifikasi Bahan'!$A$2:$F$10074,6,FALSE),"")</f>
        <v>gram</v>
      </c>
      <c r="G164" s="106">
        <f>IFERROR(VLOOKUP(B164,'Spesifikasi Bahan'!$A$2:$G$10074,7,FALSE),"")</f>
        <v>25</v>
      </c>
      <c r="H164" s="107">
        <f t="shared" si="3"/>
        <v>499.4366</v>
      </c>
      <c r="I164" s="107">
        <f>SUMIF('Form Responses Incoming'!$C$2:$C$10131,B164,'Form Responses Incoming'!$D$2:D10278)</f>
        <v>500</v>
      </c>
      <c r="J164" s="107">
        <f>SUMIF('Form Responses Usage'!$C$2:$C$11115,B164,'Form Responses Usage'!$D$2:$D$11115)</f>
        <v>0.5634</v>
      </c>
      <c r="K164" s="108" t="str">
        <f t="shared" si="2"/>
        <v>OK</v>
      </c>
      <c r="L164" s="109" t="str">
        <f>IFERROR(VLOOKUP(B164,'Spesifikasi Bahan'!$A$2:$D$10074,4,FALSE),"")</f>
        <v>240605A7 - Xihua</v>
      </c>
      <c r="M164" s="110"/>
      <c r="N164" s="104" t="e">
        <v>#N/A</v>
      </c>
    </row>
    <row r="165">
      <c r="A165" s="104">
        <v>82.0</v>
      </c>
      <c r="B165" s="105" t="s">
        <v>673</v>
      </c>
      <c r="C165" s="106" t="str">
        <f>IFERROR(VLOOKUP(B165,'Spesifikasi Bahan'!$A$2:$B$10074,2,FALSE),"")</f>
        <v>N,N-Dimethyl p-Phenylediamine Dihydrochloride 99.5%</v>
      </c>
      <c r="D165" s="106" t="str">
        <f>IFERROR(VLOOKUP(B165,'Spesifikasi Bahan'!$A$2:$C$10074,3,FALSE),"")</f>
        <v>C8H14Cl2N2</v>
      </c>
      <c r="E165" s="106">
        <f>IFERROR(VLOOKUP(B165,'Spesifikasi Bahan'!$A$2:$E$10074,5,FALSE),"")</f>
        <v>25</v>
      </c>
      <c r="F165" s="106" t="str">
        <f>IFERROR(VLOOKUP(B165,'Spesifikasi Bahan'!$A$2:$F$10074,6,FALSE),"")</f>
        <v>gram</v>
      </c>
      <c r="G165" s="106">
        <f>IFERROR(VLOOKUP(B165,'Spesifikasi Bahan'!$A$2:$G$10074,7,FALSE),"")</f>
        <v>10</v>
      </c>
      <c r="H165" s="107">
        <f t="shared" si="3"/>
        <v>25</v>
      </c>
      <c r="I165" s="107">
        <f>SUMIF('Form Responses Incoming'!$C$2:$C$10131,B165,'Form Responses Incoming'!$D$2:D10279)</f>
        <v>25</v>
      </c>
      <c r="J165" s="107">
        <f>SUMIF('Form Responses Usage'!$C$2:$C$11115,B165,'Form Responses Usage'!$D$2:$D$11115)</f>
        <v>0</v>
      </c>
      <c r="K165" s="108" t="str">
        <f t="shared" si="2"/>
        <v>OK</v>
      </c>
      <c r="L165" s="109" t="str">
        <f>IFERROR(VLOOKUP(B165,'Spesifikasi Bahan'!$A$2:$D$10074,4,FALSE),"")</f>
        <v>03410 - LobaChemie</v>
      </c>
      <c r="M165" s="110"/>
      <c r="N165" s="104" t="e">
        <v>#N/A</v>
      </c>
    </row>
    <row r="166">
      <c r="A166" s="104">
        <v>82.0</v>
      </c>
      <c r="B166" s="105"/>
      <c r="C166" s="106" t="str">
        <f>IFERROR(VLOOKUP(B166,'Spesifikasi Bahan'!$A$2:$B$10074,2,FALSE),"")</f>
        <v/>
      </c>
      <c r="D166" s="106" t="str">
        <f>IFERROR(VLOOKUP(B166,'Spesifikasi Bahan'!$A$2:$C$10074,3,FALSE),"")</f>
        <v/>
      </c>
      <c r="E166" s="106" t="str">
        <f>IFERROR(VLOOKUP(B166,'Spesifikasi Bahan'!$A$2:$E$10074,5,FALSE),"")</f>
        <v/>
      </c>
      <c r="F166" s="106" t="str">
        <f>IFERROR(VLOOKUP(B166,'Spesifikasi Bahan'!$A$2:$F$10074,6,FALSE),"")</f>
        <v/>
      </c>
      <c r="G166" s="106" t="str">
        <f>IFERROR(VLOOKUP(B166,'Spesifikasi Bahan'!$A$2:$G$10074,7,FALSE),"")</f>
        <v/>
      </c>
      <c r="H166" s="107">
        <f t="shared" si="3"/>
        <v>0</v>
      </c>
      <c r="I166" s="107">
        <f>SUMIF('Form Responses Incoming'!$C$2:$C$10131,B166,'Form Responses Incoming'!$D$2:D10280)</f>
        <v>0</v>
      </c>
      <c r="J166" s="107">
        <f>SUMIF('Form Responses Usage'!$C$2:$C$11115,B166,'Form Responses Usage'!$D$2:$D$11115)</f>
        <v>0</v>
      </c>
      <c r="K166" s="108" t="str">
        <f t="shared" si="2"/>
        <v>Limited Stock</v>
      </c>
      <c r="L166" s="109" t="str">
        <f>IFERROR(VLOOKUP(B166,'Spesifikasi Bahan'!$A$2:$D$10074,4,FALSE),"")</f>
        <v/>
      </c>
      <c r="M166" s="110"/>
      <c r="N166" s="104" t="e">
        <v>#N/A</v>
      </c>
    </row>
    <row r="167">
      <c r="A167" s="104">
        <v>82.0</v>
      </c>
      <c r="B167" s="105"/>
      <c r="C167" s="106" t="str">
        <f>IFERROR(VLOOKUP(B167,'Spesifikasi Bahan'!$A$2:$B$10074,2,FALSE),"")</f>
        <v/>
      </c>
      <c r="D167" s="106" t="str">
        <f>IFERROR(VLOOKUP(B167,'Spesifikasi Bahan'!$A$2:$C$10074,3,FALSE),"")</f>
        <v/>
      </c>
      <c r="E167" s="106" t="str">
        <f>IFERROR(VLOOKUP(B167,'Spesifikasi Bahan'!$A$2:$E$10074,5,FALSE),"")</f>
        <v/>
      </c>
      <c r="F167" s="106" t="str">
        <f>IFERROR(VLOOKUP(B167,'Spesifikasi Bahan'!$A$2:$F$10074,6,FALSE),"")</f>
        <v/>
      </c>
      <c r="G167" s="106" t="str">
        <f>IFERROR(VLOOKUP(B167,'Spesifikasi Bahan'!$A$2:$G$10074,7,FALSE),"")</f>
        <v/>
      </c>
      <c r="H167" s="107">
        <f t="shared" si="3"/>
        <v>0</v>
      </c>
      <c r="I167" s="107">
        <f>SUMIF('Form Responses Incoming'!$C$2:$C$10131,B167,'Form Responses Incoming'!$D$2:D10281)</f>
        <v>0</v>
      </c>
      <c r="J167" s="107">
        <f>SUMIF('Form Responses Usage'!$C$2:$C$11115,B167,'Form Responses Usage'!$D$2:$D$11115)</f>
        <v>0</v>
      </c>
      <c r="K167" s="108" t="str">
        <f t="shared" si="2"/>
        <v>Limited Stock</v>
      </c>
      <c r="L167" s="109" t="str">
        <f>IFERROR(VLOOKUP(B167,'Spesifikasi Bahan'!$A$2:$D$10074,4,FALSE),"")</f>
        <v/>
      </c>
      <c r="M167" s="110"/>
      <c r="N167" s="104" t="e">
        <v>#N/A</v>
      </c>
    </row>
    <row r="168">
      <c r="A168" s="104">
        <v>82.0</v>
      </c>
      <c r="B168" s="105"/>
      <c r="C168" s="106" t="str">
        <f>IFERROR(VLOOKUP(B168,'Spesifikasi Bahan'!$A$2:$B$10074,2,FALSE),"")</f>
        <v/>
      </c>
      <c r="D168" s="106" t="str">
        <f>IFERROR(VLOOKUP(B168,'Spesifikasi Bahan'!$A$2:$C$10074,3,FALSE),"")</f>
        <v/>
      </c>
      <c r="E168" s="106" t="str">
        <f>IFERROR(VLOOKUP(B168,'Spesifikasi Bahan'!$A$2:$E$10074,5,FALSE),"")</f>
        <v/>
      </c>
      <c r="F168" s="106" t="str">
        <f>IFERROR(VLOOKUP(B168,'Spesifikasi Bahan'!$A$2:$F$10074,6,FALSE),"")</f>
        <v/>
      </c>
      <c r="G168" s="106" t="str">
        <f>IFERROR(VLOOKUP(B168,'Spesifikasi Bahan'!$A$2:$G$10074,7,FALSE),"")</f>
        <v/>
      </c>
      <c r="H168" s="107">
        <f t="shared" si="3"/>
        <v>0</v>
      </c>
      <c r="I168" s="107">
        <f>SUMIF('Form Responses Incoming'!$C$2:$C$10131,B168,'Form Responses Incoming'!$D$2:D10282)</f>
        <v>0</v>
      </c>
      <c r="J168" s="107">
        <f>SUMIF('Form Responses Usage'!$C$2:$C$11115,B168,'Form Responses Usage'!$D$2:$D$11115)</f>
        <v>0</v>
      </c>
      <c r="K168" s="108" t="str">
        <f t="shared" si="2"/>
        <v>Limited Stock</v>
      </c>
      <c r="L168" s="109" t="str">
        <f>IFERROR(VLOOKUP(B168,'Spesifikasi Bahan'!$A$2:$D$10074,4,FALSE),"")</f>
        <v/>
      </c>
      <c r="M168" s="110"/>
      <c r="N168" s="104" t="e">
        <v>#N/A</v>
      </c>
    </row>
    <row r="169">
      <c r="A169" s="104">
        <v>82.0</v>
      </c>
      <c r="B169" s="105"/>
      <c r="C169" s="106" t="str">
        <f>IFERROR(VLOOKUP(B169,'Spesifikasi Bahan'!$A$2:$B$10074,2,FALSE),"")</f>
        <v/>
      </c>
      <c r="D169" s="106" t="str">
        <f>IFERROR(VLOOKUP(B169,'Spesifikasi Bahan'!$A$2:$C$10074,3,FALSE),"")</f>
        <v/>
      </c>
      <c r="E169" s="106" t="str">
        <f>IFERROR(VLOOKUP(B169,'Spesifikasi Bahan'!$A$2:$E$10074,5,FALSE),"")</f>
        <v/>
      </c>
      <c r="F169" s="106" t="str">
        <f>IFERROR(VLOOKUP(B169,'Spesifikasi Bahan'!$A$2:$F$10074,6,FALSE),"")</f>
        <v/>
      </c>
      <c r="G169" s="106" t="str">
        <f>IFERROR(VLOOKUP(B169,'Spesifikasi Bahan'!$A$2:$G$10074,7,FALSE),"")</f>
        <v/>
      </c>
      <c r="H169" s="107">
        <f t="shared" si="3"/>
        <v>0</v>
      </c>
      <c r="I169" s="107">
        <f>SUMIF('Form Responses Incoming'!$C$2:$C$10131,B169,'Form Responses Incoming'!$D$2:D10283)</f>
        <v>0</v>
      </c>
      <c r="J169" s="107">
        <f>SUMIF('Form Responses Usage'!$C$2:$C$11115,B169,'Form Responses Usage'!$D$2:$D$11115)</f>
        <v>0</v>
      </c>
      <c r="K169" s="108" t="str">
        <f t="shared" si="2"/>
        <v>Limited Stock</v>
      </c>
      <c r="L169" s="109" t="str">
        <f>IFERROR(VLOOKUP(B169,'Spesifikasi Bahan'!$A$2:$D$10074,4,FALSE),"")</f>
        <v/>
      </c>
      <c r="M169" s="110"/>
      <c r="N169" s="104" t="e">
        <v>#N/A</v>
      </c>
    </row>
    <row r="170">
      <c r="A170" s="104">
        <v>82.0</v>
      </c>
      <c r="B170" s="105"/>
      <c r="C170" s="106" t="str">
        <f>IFERROR(VLOOKUP(B170,'Spesifikasi Bahan'!$A$2:$B$10074,2,FALSE),"")</f>
        <v/>
      </c>
      <c r="D170" s="106" t="str">
        <f>IFERROR(VLOOKUP(B170,'Spesifikasi Bahan'!$A$2:$C$10074,3,FALSE),"")</f>
        <v/>
      </c>
      <c r="E170" s="106" t="str">
        <f>IFERROR(VLOOKUP(B170,'Spesifikasi Bahan'!$A$2:$E$10074,5,FALSE),"")</f>
        <v/>
      </c>
      <c r="F170" s="106" t="str">
        <f>IFERROR(VLOOKUP(B170,'Spesifikasi Bahan'!$A$2:$F$10074,6,FALSE),"")</f>
        <v/>
      </c>
      <c r="G170" s="106" t="str">
        <f>IFERROR(VLOOKUP(B170,'Spesifikasi Bahan'!$A$2:$G$10074,7,FALSE),"")</f>
        <v/>
      </c>
      <c r="H170" s="107">
        <f t="shared" si="3"/>
        <v>0</v>
      </c>
      <c r="I170" s="107">
        <f>SUMIF('Form Responses Incoming'!$C$2:$C$10131,B170,'Form Responses Incoming'!$D$2:D10284)</f>
        <v>0</v>
      </c>
      <c r="J170" s="107">
        <f>SUMIF('Form Responses Usage'!$C$2:$C$11115,B170,'Form Responses Usage'!$D$2:$D$11115)</f>
        <v>0</v>
      </c>
      <c r="K170" s="108" t="str">
        <f t="shared" si="2"/>
        <v>Limited Stock</v>
      </c>
      <c r="L170" s="109" t="str">
        <f>IFERROR(VLOOKUP(B170,'Spesifikasi Bahan'!$A$2:$D$10074,4,FALSE),"")</f>
        <v/>
      </c>
      <c r="M170" s="110"/>
      <c r="N170" s="104" t="e">
        <v>#N/A</v>
      </c>
    </row>
    <row r="171">
      <c r="A171" s="104">
        <v>82.0</v>
      </c>
      <c r="B171" s="105"/>
      <c r="C171" s="106" t="str">
        <f>IFERROR(VLOOKUP(B171,'Spesifikasi Bahan'!$A$2:$B$10074,2,FALSE),"")</f>
        <v/>
      </c>
      <c r="D171" s="106" t="str">
        <f>IFERROR(VLOOKUP(B171,'Spesifikasi Bahan'!$A$2:$C$10074,3,FALSE),"")</f>
        <v/>
      </c>
      <c r="E171" s="106" t="str">
        <f>IFERROR(VLOOKUP(B171,'Spesifikasi Bahan'!$A$2:$E$10074,5,FALSE),"")</f>
        <v/>
      </c>
      <c r="F171" s="106" t="str">
        <f>IFERROR(VLOOKUP(B171,'Spesifikasi Bahan'!$A$2:$F$10074,6,FALSE),"")</f>
        <v/>
      </c>
      <c r="G171" s="106" t="str">
        <f>IFERROR(VLOOKUP(B171,'Spesifikasi Bahan'!$A$2:$G$10074,7,FALSE),"")</f>
        <v/>
      </c>
      <c r="H171" s="107">
        <f t="shared" si="3"/>
        <v>0</v>
      </c>
      <c r="I171" s="107">
        <f>SUMIF('Form Responses Incoming'!$C$2:$C$10131,B171,'Form Responses Incoming'!$D$2:D10285)</f>
        <v>0</v>
      </c>
      <c r="J171" s="107">
        <f>SUMIF('Form Responses Usage'!$C$2:$C$11115,B171,'Form Responses Usage'!$D$2:$D$11115)</f>
        <v>0</v>
      </c>
      <c r="K171" s="108" t="str">
        <f t="shared" si="2"/>
        <v>Limited Stock</v>
      </c>
      <c r="L171" s="109" t="str">
        <f>IFERROR(VLOOKUP(B171,'Spesifikasi Bahan'!$A$2:$D$10074,4,FALSE),"")</f>
        <v/>
      </c>
      <c r="M171" s="110"/>
      <c r="N171" s="104" t="e">
        <v>#N/A</v>
      </c>
    </row>
    <row r="172">
      <c r="A172" s="104">
        <v>82.0</v>
      </c>
      <c r="B172" s="105"/>
      <c r="C172" s="106" t="str">
        <f>IFERROR(VLOOKUP(B172,'Spesifikasi Bahan'!$A$2:$B$10074,2,FALSE),"")</f>
        <v/>
      </c>
      <c r="D172" s="106" t="str">
        <f>IFERROR(VLOOKUP(B172,'Spesifikasi Bahan'!$A$2:$C$10074,3,FALSE),"")</f>
        <v/>
      </c>
      <c r="E172" s="106" t="str">
        <f>IFERROR(VLOOKUP(B172,'Spesifikasi Bahan'!$A$2:$E$10074,5,FALSE),"")</f>
        <v/>
      </c>
      <c r="F172" s="106" t="str">
        <f>IFERROR(VLOOKUP(B172,'Spesifikasi Bahan'!$A$2:$F$10074,6,FALSE),"")</f>
        <v/>
      </c>
      <c r="G172" s="106" t="str">
        <f>IFERROR(VLOOKUP(B172,'Spesifikasi Bahan'!$A$2:$G$10074,7,FALSE),"")</f>
        <v/>
      </c>
      <c r="H172" s="107">
        <f t="shared" si="3"/>
        <v>0</v>
      </c>
      <c r="I172" s="107">
        <f>SUMIF('Form Responses Incoming'!$C$2:$C$10131,B172,'Form Responses Incoming'!$D$2:D10286)</f>
        <v>0</v>
      </c>
      <c r="J172" s="107">
        <f>SUMIF('Form Responses Usage'!$C$2:$C$11115,B172,'Form Responses Usage'!$D$2:$D$11115)</f>
        <v>0</v>
      </c>
      <c r="K172" s="108" t="str">
        <f t="shared" si="2"/>
        <v>Limited Stock</v>
      </c>
      <c r="L172" s="109" t="str">
        <f>IFERROR(VLOOKUP(B172,'Spesifikasi Bahan'!$A$2:$D$10074,4,FALSE),"")</f>
        <v/>
      </c>
      <c r="M172" s="110"/>
      <c r="N172" s="104" t="e">
        <v>#N/A</v>
      </c>
    </row>
    <row r="173">
      <c r="A173" s="104">
        <v>82.0</v>
      </c>
      <c r="B173" s="105"/>
      <c r="C173" s="106" t="str">
        <f>IFERROR(VLOOKUP(B173,'Spesifikasi Bahan'!$A$2:$B$10074,2,FALSE),"")</f>
        <v/>
      </c>
      <c r="D173" s="106" t="str">
        <f>IFERROR(VLOOKUP(B173,'Spesifikasi Bahan'!$A$2:$C$10074,3,FALSE),"")</f>
        <v/>
      </c>
      <c r="E173" s="106" t="str">
        <f>IFERROR(VLOOKUP(B173,'Spesifikasi Bahan'!$A$2:$E$10074,5,FALSE),"")</f>
        <v/>
      </c>
      <c r="F173" s="106" t="str">
        <f>IFERROR(VLOOKUP(B173,'Spesifikasi Bahan'!$A$2:$F$10074,6,FALSE),"")</f>
        <v/>
      </c>
      <c r="G173" s="106" t="str">
        <f>IFERROR(VLOOKUP(B173,'Spesifikasi Bahan'!$A$2:$G$10074,7,FALSE),"")</f>
        <v/>
      </c>
      <c r="H173" s="107">
        <f t="shared" si="3"/>
        <v>0</v>
      </c>
      <c r="I173" s="107">
        <f>SUMIF('Form Responses Incoming'!$C$2:$C$10131,B173,'Form Responses Incoming'!$D$2:D10287)</f>
        <v>0</v>
      </c>
      <c r="J173" s="107">
        <f>SUMIF('Form Responses Usage'!$C$2:$C$11115,B173,'Form Responses Usage'!$D$2:$D$11115)</f>
        <v>0</v>
      </c>
      <c r="K173" s="108" t="str">
        <f t="shared" si="2"/>
        <v>Limited Stock</v>
      </c>
      <c r="L173" s="109" t="str">
        <f>IFERROR(VLOOKUP(B173,'Spesifikasi Bahan'!$A$2:$D$10074,4,FALSE),"")</f>
        <v/>
      </c>
      <c r="M173" s="110"/>
      <c r="N173" s="104" t="e">
        <v>#N/A</v>
      </c>
    </row>
    <row r="174">
      <c r="A174" s="104">
        <v>82.0</v>
      </c>
      <c r="B174" s="105"/>
      <c r="C174" s="106" t="str">
        <f>IFERROR(VLOOKUP(B174,'Spesifikasi Bahan'!$A$2:$B$10074,2,FALSE),"")</f>
        <v/>
      </c>
      <c r="D174" s="106" t="str">
        <f>IFERROR(VLOOKUP(B174,'Spesifikasi Bahan'!$A$2:$C$10074,3,FALSE),"")</f>
        <v/>
      </c>
      <c r="E174" s="106" t="str">
        <f>IFERROR(VLOOKUP(B174,'Spesifikasi Bahan'!$A$2:$E$10074,5,FALSE),"")</f>
        <v/>
      </c>
      <c r="F174" s="106" t="str">
        <f>IFERROR(VLOOKUP(B174,'Spesifikasi Bahan'!$A$2:$F$10074,6,FALSE),"")</f>
        <v/>
      </c>
      <c r="G174" s="106" t="str">
        <f>IFERROR(VLOOKUP(B174,'Spesifikasi Bahan'!$A$2:$G$10074,7,FALSE),"")</f>
        <v/>
      </c>
      <c r="H174" s="107">
        <f t="shared" si="3"/>
        <v>0</v>
      </c>
      <c r="I174" s="107">
        <f>SUMIF('Form Responses Incoming'!$C$2:$C$10131,B174,'Form Responses Incoming'!$D$2:D10288)</f>
        <v>0</v>
      </c>
      <c r="J174" s="107">
        <f>SUMIF('Form Responses Usage'!$C$2:$C$11115,B174,'Form Responses Usage'!$D$2:$D$11115)</f>
        <v>0</v>
      </c>
      <c r="K174" s="108" t="str">
        <f t="shared" si="2"/>
        <v>Limited Stock</v>
      </c>
      <c r="L174" s="109" t="str">
        <f>IFERROR(VLOOKUP(B174,'Spesifikasi Bahan'!$A$2:$D$10074,4,FALSE),"")</f>
        <v/>
      </c>
      <c r="M174" s="110"/>
      <c r="N174" s="104" t="e">
        <v>#N/A</v>
      </c>
    </row>
    <row r="175">
      <c r="A175" s="104">
        <v>82.0</v>
      </c>
      <c r="B175" s="105"/>
      <c r="C175" s="106" t="str">
        <f>IFERROR(VLOOKUP(B175,'Spesifikasi Bahan'!$A$2:$B$10074,2,FALSE),"")</f>
        <v/>
      </c>
      <c r="D175" s="106" t="str">
        <f>IFERROR(VLOOKUP(B175,'Spesifikasi Bahan'!$A$2:$C$10074,3,FALSE),"")</f>
        <v/>
      </c>
      <c r="E175" s="106" t="str">
        <f>IFERROR(VLOOKUP(B175,'Spesifikasi Bahan'!$A$2:$E$10074,5,FALSE),"")</f>
        <v/>
      </c>
      <c r="F175" s="106" t="str">
        <f>IFERROR(VLOOKUP(B175,'Spesifikasi Bahan'!$A$2:$F$10074,6,FALSE),"")</f>
        <v/>
      </c>
      <c r="G175" s="106" t="str">
        <f>IFERROR(VLOOKUP(B175,'Spesifikasi Bahan'!$A$2:$G$10074,7,FALSE),"")</f>
        <v/>
      </c>
      <c r="H175" s="107">
        <f t="shared" si="3"/>
        <v>0</v>
      </c>
      <c r="I175" s="107">
        <f>SUMIF('Form Responses Incoming'!$C$2:$C$10131,B175,'Form Responses Incoming'!$D$2:D10289)</f>
        <v>0</v>
      </c>
      <c r="J175" s="107">
        <f>SUMIF('Form Responses Usage'!$C$2:$C$11115,B175,'Form Responses Usage'!$D$2:$D$11115)</f>
        <v>0</v>
      </c>
      <c r="K175" s="108" t="str">
        <f t="shared" si="2"/>
        <v>Limited Stock</v>
      </c>
      <c r="L175" s="109" t="str">
        <f>IFERROR(VLOOKUP(B175,'Spesifikasi Bahan'!$A$2:$D$10074,4,FALSE),"")</f>
        <v/>
      </c>
      <c r="M175" s="110"/>
      <c r="N175" s="104" t="e">
        <v>#N/A</v>
      </c>
    </row>
    <row r="176">
      <c r="A176" s="104">
        <v>82.0</v>
      </c>
      <c r="B176" s="105"/>
      <c r="C176" s="106" t="str">
        <f>IFERROR(VLOOKUP(B176,'Spesifikasi Bahan'!$A$2:$B$10074,2,FALSE),"")</f>
        <v/>
      </c>
      <c r="D176" s="106" t="str">
        <f>IFERROR(VLOOKUP(B176,'Spesifikasi Bahan'!$A$2:$C$10074,3,FALSE),"")</f>
        <v/>
      </c>
      <c r="E176" s="106" t="str">
        <f>IFERROR(VLOOKUP(B176,'Spesifikasi Bahan'!$A$2:$E$10074,5,FALSE),"")</f>
        <v/>
      </c>
      <c r="F176" s="106" t="str">
        <f>IFERROR(VLOOKUP(B176,'Spesifikasi Bahan'!$A$2:$F$10074,6,FALSE),"")</f>
        <v/>
      </c>
      <c r="G176" s="106" t="str">
        <f>IFERROR(VLOOKUP(B176,'Spesifikasi Bahan'!$A$2:$G$10074,7,FALSE),"")</f>
        <v/>
      </c>
      <c r="H176" s="107">
        <f t="shared" si="3"/>
        <v>0</v>
      </c>
      <c r="I176" s="107">
        <f>SUMIF('Form Responses Incoming'!$C$2:$C$10131,B176,'Form Responses Incoming'!$D$2:D10290)</f>
        <v>0</v>
      </c>
      <c r="J176" s="107">
        <f>SUMIF('Form Responses Usage'!$C$2:$C$11115,B176,'Form Responses Usage'!$D$2:$D$11115)</f>
        <v>0</v>
      </c>
      <c r="K176" s="108" t="str">
        <f t="shared" si="2"/>
        <v>Limited Stock</v>
      </c>
      <c r="L176" s="109" t="str">
        <f>IFERROR(VLOOKUP(B176,'Spesifikasi Bahan'!$A$2:$D$10074,4,FALSE),"")</f>
        <v/>
      </c>
      <c r="M176" s="110"/>
      <c r="N176" s="104" t="e">
        <v>#N/A</v>
      </c>
    </row>
    <row r="177">
      <c r="A177" s="104">
        <v>82.0</v>
      </c>
      <c r="B177" s="105"/>
      <c r="C177" s="106" t="str">
        <f>IFERROR(VLOOKUP(B177,'Spesifikasi Bahan'!$A$2:$B$10074,2,FALSE),"")</f>
        <v/>
      </c>
      <c r="D177" s="106" t="str">
        <f>IFERROR(VLOOKUP(B177,'Spesifikasi Bahan'!$A$2:$C$10074,3,FALSE),"")</f>
        <v/>
      </c>
      <c r="E177" s="106" t="str">
        <f>IFERROR(VLOOKUP(B177,'Spesifikasi Bahan'!$A$2:$E$10074,5,FALSE),"")</f>
        <v/>
      </c>
      <c r="F177" s="106" t="str">
        <f>IFERROR(VLOOKUP(B177,'Spesifikasi Bahan'!$A$2:$F$10074,6,FALSE),"")</f>
        <v/>
      </c>
      <c r="G177" s="106" t="str">
        <f>IFERROR(VLOOKUP(B177,'Spesifikasi Bahan'!$A$2:$G$10074,7,FALSE),"")</f>
        <v/>
      </c>
      <c r="H177" s="107">
        <f t="shared" si="3"/>
        <v>0</v>
      </c>
      <c r="I177" s="107">
        <f>SUMIF('Form Responses Incoming'!$C$2:$C$10131,B177,'Form Responses Incoming'!$D$2:D10291)</f>
        <v>0</v>
      </c>
      <c r="J177" s="107">
        <f>SUMIF('Form Responses Usage'!$C$2:$C$11115,B177,'Form Responses Usage'!$D$2:$D$11115)</f>
        <v>0</v>
      </c>
      <c r="K177" s="108" t="str">
        <f t="shared" si="2"/>
        <v>Limited Stock</v>
      </c>
      <c r="L177" s="109" t="str">
        <f>IFERROR(VLOOKUP(B177,'Spesifikasi Bahan'!$A$2:$D$10074,4,FALSE),"")</f>
        <v/>
      </c>
      <c r="M177" s="110"/>
      <c r="N177" s="104" t="e">
        <v>#N/A</v>
      </c>
    </row>
    <row r="178">
      <c r="A178" s="104">
        <v>82.0</v>
      </c>
      <c r="B178" s="105"/>
      <c r="C178" s="106" t="str">
        <f>IFERROR(VLOOKUP(B178,'Spesifikasi Bahan'!$A$2:$B$10074,2,FALSE),"")</f>
        <v/>
      </c>
      <c r="D178" s="106" t="str">
        <f>IFERROR(VLOOKUP(B178,'Spesifikasi Bahan'!$A$2:$C$10074,3,FALSE),"")</f>
        <v/>
      </c>
      <c r="E178" s="106" t="str">
        <f>IFERROR(VLOOKUP(B178,'Spesifikasi Bahan'!$A$2:$E$10074,5,FALSE),"")</f>
        <v/>
      </c>
      <c r="F178" s="106" t="str">
        <f>IFERROR(VLOOKUP(B178,'Spesifikasi Bahan'!$A$2:$F$10074,6,FALSE),"")</f>
        <v/>
      </c>
      <c r="G178" s="106" t="str">
        <f>IFERROR(VLOOKUP(B178,'Spesifikasi Bahan'!$A$2:$G$10074,7,FALSE),"")</f>
        <v/>
      </c>
      <c r="H178" s="107">
        <f t="shared" si="3"/>
        <v>0</v>
      </c>
      <c r="I178" s="107">
        <f>SUMIF('Form Responses Incoming'!$C$2:$C$10131,B178,'Form Responses Incoming'!$D$2:D10292)</f>
        <v>0</v>
      </c>
      <c r="J178" s="107">
        <f>SUMIF('Form Responses Usage'!$C$2:$C$11115,B178,'Form Responses Usage'!$D$2:$D$11115)</f>
        <v>0</v>
      </c>
      <c r="K178" s="108" t="str">
        <f t="shared" si="2"/>
        <v>Limited Stock</v>
      </c>
      <c r="L178" s="109" t="str">
        <f>IFERROR(VLOOKUP(B178,'Spesifikasi Bahan'!$A$2:$D$10074,4,FALSE),"")</f>
        <v/>
      </c>
      <c r="M178" s="110"/>
      <c r="N178" s="104" t="e">
        <v>#N/A</v>
      </c>
    </row>
    <row r="179">
      <c r="A179" s="104">
        <v>82.0</v>
      </c>
      <c r="B179" s="105"/>
      <c r="C179" s="106" t="str">
        <f>IFERROR(VLOOKUP(B179,'Spesifikasi Bahan'!$A$2:$B$10074,2,FALSE),"")</f>
        <v/>
      </c>
      <c r="D179" s="106" t="str">
        <f>IFERROR(VLOOKUP(B179,'Spesifikasi Bahan'!$A$2:$C$10074,3,FALSE),"")</f>
        <v/>
      </c>
      <c r="E179" s="106" t="str">
        <f>IFERROR(VLOOKUP(B179,'Spesifikasi Bahan'!$A$2:$E$10074,5,FALSE),"")</f>
        <v/>
      </c>
      <c r="F179" s="106" t="str">
        <f>IFERROR(VLOOKUP(B179,'Spesifikasi Bahan'!$A$2:$F$10074,6,FALSE),"")</f>
        <v/>
      </c>
      <c r="G179" s="106" t="str">
        <f>IFERROR(VLOOKUP(B179,'Spesifikasi Bahan'!$A$2:$G$10074,7,FALSE),"")</f>
        <v/>
      </c>
      <c r="H179" s="107">
        <f t="shared" si="3"/>
        <v>0</v>
      </c>
      <c r="I179" s="107">
        <f>SUMIF('Form Responses Incoming'!$C$2:$C$10131,B179,'Form Responses Incoming'!$D$2:D10293)</f>
        <v>0</v>
      </c>
      <c r="J179" s="107">
        <f>SUMIF('Form Responses Usage'!$C$2:$C$11115,B179,'Form Responses Usage'!$D$2:$D$11115)</f>
        <v>0</v>
      </c>
      <c r="K179" s="108" t="str">
        <f t="shared" si="2"/>
        <v>Limited Stock</v>
      </c>
      <c r="L179" s="109" t="str">
        <f>IFERROR(VLOOKUP(B179,'Spesifikasi Bahan'!$A$2:$D$10074,4,FALSE),"")</f>
        <v/>
      </c>
      <c r="M179" s="110"/>
      <c r="N179" s="104" t="e">
        <v>#N/A</v>
      </c>
    </row>
    <row r="180">
      <c r="A180" s="104">
        <v>82.0</v>
      </c>
      <c r="B180" s="105"/>
      <c r="C180" s="106" t="str">
        <f>IFERROR(VLOOKUP(B180,'Spesifikasi Bahan'!$A$2:$B$10074,2,FALSE),"")</f>
        <v/>
      </c>
      <c r="D180" s="106" t="str">
        <f>IFERROR(VLOOKUP(B180,'Spesifikasi Bahan'!$A$2:$C$10074,3,FALSE),"")</f>
        <v/>
      </c>
      <c r="E180" s="106" t="str">
        <f>IFERROR(VLOOKUP(B180,'Spesifikasi Bahan'!$A$2:$E$10074,5,FALSE),"")</f>
        <v/>
      </c>
      <c r="F180" s="106" t="str">
        <f>IFERROR(VLOOKUP(B180,'Spesifikasi Bahan'!$A$2:$F$10074,6,FALSE),"")</f>
        <v/>
      </c>
      <c r="G180" s="106" t="str">
        <f>IFERROR(VLOOKUP(B180,'Spesifikasi Bahan'!$A$2:$G$10074,7,FALSE),"")</f>
        <v/>
      </c>
      <c r="H180" s="107">
        <f t="shared" si="3"/>
        <v>0</v>
      </c>
      <c r="I180" s="107">
        <f>SUMIF('Form Responses Incoming'!$C$2:$C$10131,B180,'Form Responses Incoming'!$D$2:D10294)</f>
        <v>0</v>
      </c>
      <c r="J180" s="107">
        <f>SUMIF('Form Responses Usage'!$C$2:$C$11115,B180,'Form Responses Usage'!$D$2:$D$11115)</f>
        <v>0</v>
      </c>
      <c r="K180" s="108" t="str">
        <f t="shared" si="2"/>
        <v>Limited Stock</v>
      </c>
      <c r="L180" s="109" t="str">
        <f>IFERROR(VLOOKUP(B180,'Spesifikasi Bahan'!$A$2:$D$10074,4,FALSE),"")</f>
        <v/>
      </c>
      <c r="M180" s="110"/>
      <c r="N180" s="104" t="e">
        <v>#N/A</v>
      </c>
    </row>
    <row r="181">
      <c r="A181" s="104">
        <v>82.0</v>
      </c>
      <c r="B181" s="105"/>
      <c r="C181" s="106" t="str">
        <f>IFERROR(VLOOKUP(B181,'Spesifikasi Bahan'!$A$2:$B$10074,2,FALSE),"")</f>
        <v/>
      </c>
      <c r="D181" s="106" t="str">
        <f>IFERROR(VLOOKUP(B181,'Spesifikasi Bahan'!$A$2:$C$10074,3,FALSE),"")</f>
        <v/>
      </c>
      <c r="E181" s="106" t="str">
        <f>IFERROR(VLOOKUP(B181,'Spesifikasi Bahan'!$A$2:$E$10074,5,FALSE),"")</f>
        <v/>
      </c>
      <c r="F181" s="106" t="str">
        <f>IFERROR(VLOOKUP(B181,'Spesifikasi Bahan'!$A$2:$F$10074,6,FALSE),"")</f>
        <v/>
      </c>
      <c r="G181" s="106" t="str">
        <f>IFERROR(VLOOKUP(B181,'Spesifikasi Bahan'!$A$2:$G$10074,7,FALSE),"")</f>
        <v/>
      </c>
      <c r="H181" s="107">
        <f t="shared" si="3"/>
        <v>0</v>
      </c>
      <c r="I181" s="107">
        <f>SUMIF('Form Responses Incoming'!$C$2:$C$10131,B181,'Form Responses Incoming'!$D$2:D10295)</f>
        <v>0</v>
      </c>
      <c r="J181" s="107">
        <f>SUMIF('Form Responses Usage'!$C$2:$C$11115,B181,'Form Responses Usage'!$D$2:$D$11115)</f>
        <v>0</v>
      </c>
      <c r="K181" s="108" t="str">
        <f t="shared" si="2"/>
        <v>Limited Stock</v>
      </c>
      <c r="L181" s="109" t="str">
        <f>IFERROR(VLOOKUP(B181,'Spesifikasi Bahan'!$A$2:$D$10074,4,FALSE),"")</f>
        <v/>
      </c>
      <c r="M181" s="110"/>
      <c r="N181" s="104" t="e">
        <v>#N/A</v>
      </c>
    </row>
    <row r="182">
      <c r="A182" s="104">
        <v>82.0</v>
      </c>
      <c r="B182" s="105"/>
      <c r="C182" s="106" t="str">
        <f>IFERROR(VLOOKUP(B182,'Spesifikasi Bahan'!$A$2:$B$10074,2,FALSE),"")</f>
        <v/>
      </c>
      <c r="D182" s="106" t="str">
        <f>IFERROR(VLOOKUP(B182,'Spesifikasi Bahan'!$A$2:$C$10074,3,FALSE),"")</f>
        <v/>
      </c>
      <c r="E182" s="106" t="str">
        <f>IFERROR(VLOOKUP(B182,'Spesifikasi Bahan'!$A$2:$E$10074,5,FALSE),"")</f>
        <v/>
      </c>
      <c r="F182" s="106" t="str">
        <f>IFERROR(VLOOKUP(B182,'Spesifikasi Bahan'!$A$2:$F$10074,6,FALSE),"")</f>
        <v/>
      </c>
      <c r="G182" s="106" t="str">
        <f>IFERROR(VLOOKUP(B182,'Spesifikasi Bahan'!$A$2:$G$10074,7,FALSE),"")</f>
        <v/>
      </c>
      <c r="H182" s="107">
        <f t="shared" si="3"/>
        <v>0</v>
      </c>
      <c r="I182" s="107">
        <f>SUMIF('Form Responses Incoming'!$C$2:$C$10131,B182,'Form Responses Incoming'!$D$2:D10296)</f>
        <v>0</v>
      </c>
      <c r="J182" s="107">
        <f>SUMIF('Form Responses Usage'!$C$2:$C$11115,B182,'Form Responses Usage'!$D$2:$D$11115)</f>
        <v>0</v>
      </c>
      <c r="K182" s="108" t="str">
        <f t="shared" si="2"/>
        <v>Limited Stock</v>
      </c>
      <c r="L182" s="109" t="str">
        <f>IFERROR(VLOOKUP(B182,'Spesifikasi Bahan'!$A$2:$D$10074,4,FALSE),"")</f>
        <v/>
      </c>
      <c r="M182" s="110"/>
      <c r="N182" s="104" t="e">
        <v>#N/A</v>
      </c>
    </row>
    <row r="183">
      <c r="A183" s="104">
        <v>82.0</v>
      </c>
      <c r="B183" s="105"/>
      <c r="C183" s="106" t="str">
        <f>IFERROR(VLOOKUP(B183,'Spesifikasi Bahan'!$A$2:$B$10074,2,FALSE),"")</f>
        <v/>
      </c>
      <c r="D183" s="106" t="str">
        <f>IFERROR(VLOOKUP(B183,'Spesifikasi Bahan'!$A$2:$C$10074,3,FALSE),"")</f>
        <v/>
      </c>
      <c r="E183" s="106" t="str">
        <f>IFERROR(VLOOKUP(B183,'Spesifikasi Bahan'!$A$2:$E$10074,5,FALSE),"")</f>
        <v/>
      </c>
      <c r="F183" s="106" t="str">
        <f>IFERROR(VLOOKUP(B183,'Spesifikasi Bahan'!$A$2:$F$10074,6,FALSE),"")</f>
        <v/>
      </c>
      <c r="G183" s="106" t="str">
        <f>IFERROR(VLOOKUP(B183,'Spesifikasi Bahan'!$A$2:$G$10074,7,FALSE),"")</f>
        <v/>
      </c>
      <c r="H183" s="107">
        <f t="shared" si="3"/>
        <v>0</v>
      </c>
      <c r="I183" s="107">
        <f>SUMIF('Form Responses Incoming'!$C$2:$C$10131,B183,'Form Responses Incoming'!$D$2:D10297)</f>
        <v>0</v>
      </c>
      <c r="J183" s="107">
        <f>SUMIF('Form Responses Usage'!$C$2:$C$11115,B183,'Form Responses Usage'!$D$2:$D$11115)</f>
        <v>0</v>
      </c>
      <c r="K183" s="108" t="str">
        <f t="shared" si="2"/>
        <v>Limited Stock</v>
      </c>
      <c r="L183" s="109" t="str">
        <f>IFERROR(VLOOKUP(B183,'Spesifikasi Bahan'!$A$2:$D$10074,4,FALSE),"")</f>
        <v/>
      </c>
      <c r="M183" s="110"/>
      <c r="N183" s="104" t="e">
        <v>#N/A</v>
      </c>
    </row>
    <row r="184">
      <c r="A184" s="104">
        <v>82.0</v>
      </c>
      <c r="B184" s="105"/>
      <c r="C184" s="106" t="str">
        <f>IFERROR(VLOOKUP(B184,'Spesifikasi Bahan'!$A$2:$B$10074,2,FALSE),"")</f>
        <v/>
      </c>
      <c r="D184" s="106" t="str">
        <f>IFERROR(VLOOKUP(B184,'Spesifikasi Bahan'!$A$2:$C$10074,3,FALSE),"")</f>
        <v/>
      </c>
      <c r="E184" s="106" t="str">
        <f>IFERROR(VLOOKUP(B184,'Spesifikasi Bahan'!$A$2:$E$10074,5,FALSE),"")</f>
        <v/>
      </c>
      <c r="F184" s="106" t="str">
        <f>IFERROR(VLOOKUP(B184,'Spesifikasi Bahan'!$A$2:$F$10074,6,FALSE),"")</f>
        <v/>
      </c>
      <c r="G184" s="106" t="str">
        <f>IFERROR(VLOOKUP(B184,'Spesifikasi Bahan'!$A$2:$G$10074,7,FALSE),"")</f>
        <v/>
      </c>
      <c r="H184" s="107">
        <f t="shared" si="3"/>
        <v>0</v>
      </c>
      <c r="I184" s="107">
        <f>SUMIF('Form Responses Incoming'!$C$2:$C$10131,B184,'Form Responses Incoming'!$D$2:D10298)</f>
        <v>0</v>
      </c>
      <c r="J184" s="107">
        <f>SUMIF('Form Responses Usage'!$C$2:$C$11115,B184,'Form Responses Usage'!$D$2:$D$11115)</f>
        <v>0</v>
      </c>
      <c r="K184" s="108" t="str">
        <f t="shared" si="2"/>
        <v>Limited Stock</v>
      </c>
      <c r="L184" s="109" t="str">
        <f>IFERROR(VLOOKUP(B184,'Spesifikasi Bahan'!$A$2:$D$10074,4,FALSE),"")</f>
        <v/>
      </c>
      <c r="M184" s="110"/>
      <c r="N184" s="104" t="e">
        <v>#N/A</v>
      </c>
    </row>
    <row r="185">
      <c r="A185" s="104">
        <v>82.0</v>
      </c>
      <c r="B185" s="105"/>
      <c r="C185" s="106" t="str">
        <f>IFERROR(VLOOKUP(B185,'Spesifikasi Bahan'!$A$2:$B$10074,2,FALSE),"")</f>
        <v/>
      </c>
      <c r="D185" s="106" t="str">
        <f>IFERROR(VLOOKUP(B185,'Spesifikasi Bahan'!$A$2:$C$10074,3,FALSE),"")</f>
        <v/>
      </c>
      <c r="E185" s="106" t="str">
        <f>IFERROR(VLOOKUP(B185,'Spesifikasi Bahan'!$A$2:$E$10074,5,FALSE),"")</f>
        <v/>
      </c>
      <c r="F185" s="106" t="str">
        <f>IFERROR(VLOOKUP(B185,'Spesifikasi Bahan'!$A$2:$F$10074,6,FALSE),"")</f>
        <v/>
      </c>
      <c r="G185" s="106" t="str">
        <f>IFERROR(VLOOKUP(B185,'Spesifikasi Bahan'!$A$2:$G$10074,7,FALSE),"")</f>
        <v/>
      </c>
      <c r="H185" s="107">
        <f t="shared" si="3"/>
        <v>0</v>
      </c>
      <c r="I185" s="107">
        <f>SUMIF('Form Responses Incoming'!$C$2:$C$10131,B185,'Form Responses Incoming'!$D$2:D10299)</f>
        <v>0</v>
      </c>
      <c r="J185" s="107">
        <f>SUMIF('Form Responses Usage'!$C$2:$C$11115,B185,'Form Responses Usage'!$D$2:$D$11115)</f>
        <v>0</v>
      </c>
      <c r="K185" s="108" t="str">
        <f t="shared" si="2"/>
        <v>Limited Stock</v>
      </c>
      <c r="L185" s="109" t="str">
        <f>IFERROR(VLOOKUP(B185,'Spesifikasi Bahan'!$A$2:$D$10074,4,FALSE),"")</f>
        <v/>
      </c>
      <c r="M185" s="110"/>
      <c r="N185" s="104" t="e">
        <v>#N/A</v>
      </c>
    </row>
    <row r="186">
      <c r="A186" s="104">
        <v>82.0</v>
      </c>
      <c r="B186" s="105"/>
      <c r="C186" s="106" t="str">
        <f>IFERROR(VLOOKUP(B186,'Spesifikasi Bahan'!$A$2:$B$10074,2,FALSE),"")</f>
        <v/>
      </c>
      <c r="D186" s="106" t="str">
        <f>IFERROR(VLOOKUP(B186,'Spesifikasi Bahan'!$A$2:$C$10074,3,FALSE),"")</f>
        <v/>
      </c>
      <c r="E186" s="106" t="str">
        <f>IFERROR(VLOOKUP(B186,'Spesifikasi Bahan'!$A$2:$E$10074,5,FALSE),"")</f>
        <v/>
      </c>
      <c r="F186" s="106" t="str">
        <f>IFERROR(VLOOKUP(B186,'Spesifikasi Bahan'!$A$2:$F$10074,6,FALSE),"")</f>
        <v/>
      </c>
      <c r="G186" s="106" t="str">
        <f>IFERROR(VLOOKUP(B186,'Spesifikasi Bahan'!$A$2:$G$10074,7,FALSE),"")</f>
        <v/>
      </c>
      <c r="H186" s="107">
        <f t="shared" si="3"/>
        <v>0</v>
      </c>
      <c r="I186" s="107">
        <f>SUMIF('Form Responses Incoming'!$C$2:$C$10131,B186,'Form Responses Incoming'!$D$2:D10300)</f>
        <v>0</v>
      </c>
      <c r="J186" s="107">
        <f>SUMIF('Form Responses Usage'!$C$2:$C$11115,B186,'Form Responses Usage'!$D$2:$D$11115)</f>
        <v>0</v>
      </c>
      <c r="K186" s="108" t="str">
        <f t="shared" si="2"/>
        <v>Limited Stock</v>
      </c>
      <c r="L186" s="109" t="str">
        <f>IFERROR(VLOOKUP(B186,'Spesifikasi Bahan'!$A$2:$D$10074,4,FALSE),"")</f>
        <v/>
      </c>
      <c r="M186" s="110"/>
      <c r="N186" s="104" t="e">
        <v>#N/A</v>
      </c>
    </row>
    <row r="187">
      <c r="A187" s="104">
        <v>82.0</v>
      </c>
      <c r="B187" s="105"/>
      <c r="C187" s="106" t="str">
        <f>IFERROR(VLOOKUP(B187,'Spesifikasi Bahan'!$A$2:$B$10074,2,FALSE),"")</f>
        <v/>
      </c>
      <c r="D187" s="106" t="str">
        <f>IFERROR(VLOOKUP(B187,'Spesifikasi Bahan'!$A$2:$C$10074,3,FALSE),"")</f>
        <v/>
      </c>
      <c r="E187" s="106" t="str">
        <f>IFERROR(VLOOKUP(B187,'Spesifikasi Bahan'!$A$2:$E$10074,5,FALSE),"")</f>
        <v/>
      </c>
      <c r="F187" s="106" t="str">
        <f>IFERROR(VLOOKUP(B187,'Spesifikasi Bahan'!$A$2:$F$10074,6,FALSE),"")</f>
        <v/>
      </c>
      <c r="G187" s="106" t="str">
        <f>IFERROR(VLOOKUP(B187,'Spesifikasi Bahan'!$A$2:$G$10074,7,FALSE),"")</f>
        <v/>
      </c>
      <c r="H187" s="107">
        <f t="shared" si="3"/>
        <v>0</v>
      </c>
      <c r="I187" s="107">
        <f>SUMIF('Form Responses Incoming'!$C$2:$C$10131,B187,'Form Responses Incoming'!$D$2:D10301)</f>
        <v>0</v>
      </c>
      <c r="J187" s="107">
        <f>SUMIF('Form Responses Usage'!$C$2:$C$11115,B187,'Form Responses Usage'!$D$2:$D$11115)</f>
        <v>0</v>
      </c>
      <c r="K187" s="108" t="str">
        <f t="shared" si="2"/>
        <v>Limited Stock</v>
      </c>
      <c r="L187" s="109" t="str">
        <f>IFERROR(VLOOKUP(B187,'Spesifikasi Bahan'!$A$2:$D$10074,4,FALSE),"")</f>
        <v/>
      </c>
      <c r="M187" s="110"/>
      <c r="N187" s="104" t="e">
        <v>#N/A</v>
      </c>
    </row>
    <row r="188">
      <c r="A188" s="104">
        <v>82.0</v>
      </c>
      <c r="B188" s="105"/>
      <c r="C188" s="106" t="str">
        <f>IFERROR(VLOOKUP(B188,'Spesifikasi Bahan'!$A$2:$B$10074,2,FALSE),"")</f>
        <v/>
      </c>
      <c r="D188" s="106" t="str">
        <f>IFERROR(VLOOKUP(B188,'Spesifikasi Bahan'!$A$2:$C$10074,3,FALSE),"")</f>
        <v/>
      </c>
      <c r="E188" s="106" t="str">
        <f>IFERROR(VLOOKUP(B188,'Spesifikasi Bahan'!$A$2:$E$10074,5,FALSE),"")</f>
        <v/>
      </c>
      <c r="F188" s="106" t="str">
        <f>IFERROR(VLOOKUP(B188,'Spesifikasi Bahan'!$A$2:$F$10074,6,FALSE),"")</f>
        <v/>
      </c>
      <c r="G188" s="106" t="str">
        <f>IFERROR(VLOOKUP(B188,'Spesifikasi Bahan'!$A$2:$G$10074,7,FALSE),"")</f>
        <v/>
      </c>
      <c r="H188" s="107">
        <f t="shared" si="3"/>
        <v>0</v>
      </c>
      <c r="I188" s="107">
        <f>SUMIF('Form Responses Incoming'!$C$2:$C$10131,B188,'Form Responses Incoming'!$D$2:D10302)</f>
        <v>0</v>
      </c>
      <c r="J188" s="107">
        <f>SUMIF('Form Responses Usage'!$C$2:$C$11115,B188,'Form Responses Usage'!$D$2:$D$11115)</f>
        <v>0</v>
      </c>
      <c r="K188" s="108" t="str">
        <f t="shared" si="2"/>
        <v>Limited Stock</v>
      </c>
      <c r="L188" s="109" t="str">
        <f>IFERROR(VLOOKUP(B188,'Spesifikasi Bahan'!$A$2:$D$10074,4,FALSE),"")</f>
        <v/>
      </c>
      <c r="M188" s="110"/>
      <c r="N188" s="104" t="e">
        <v>#N/A</v>
      </c>
    </row>
    <row r="189">
      <c r="A189" s="104">
        <v>82.0</v>
      </c>
      <c r="B189" s="105"/>
      <c r="C189" s="106" t="str">
        <f>IFERROR(VLOOKUP(B189,'Spesifikasi Bahan'!$A$2:$B$10074,2,FALSE),"")</f>
        <v/>
      </c>
      <c r="D189" s="106" t="str">
        <f>IFERROR(VLOOKUP(B189,'Spesifikasi Bahan'!$A$2:$C$10074,3,FALSE),"")</f>
        <v/>
      </c>
      <c r="E189" s="106" t="str">
        <f>IFERROR(VLOOKUP(B189,'Spesifikasi Bahan'!$A$2:$E$10074,5,FALSE),"")</f>
        <v/>
      </c>
      <c r="F189" s="106" t="str">
        <f>IFERROR(VLOOKUP(B189,'Spesifikasi Bahan'!$A$2:$F$10074,6,FALSE),"")</f>
        <v/>
      </c>
      <c r="G189" s="106" t="str">
        <f>IFERROR(VLOOKUP(B189,'Spesifikasi Bahan'!$A$2:$G$10074,7,FALSE),"")</f>
        <v/>
      </c>
      <c r="H189" s="107">
        <f t="shared" si="3"/>
        <v>0</v>
      </c>
      <c r="I189" s="107">
        <f>SUMIF('Form Responses Incoming'!$C$2:$C$10131,B189,'Form Responses Incoming'!$D$2:D10303)</f>
        <v>0</v>
      </c>
      <c r="J189" s="107">
        <f>SUMIF('Form Responses Usage'!$C$2:$C$11115,B189,'Form Responses Usage'!$D$2:$D$11115)</f>
        <v>0</v>
      </c>
      <c r="K189" s="108" t="str">
        <f t="shared" si="2"/>
        <v>Limited Stock</v>
      </c>
      <c r="L189" s="109" t="str">
        <f>IFERROR(VLOOKUP(B189,'Spesifikasi Bahan'!$A$2:$D$10074,4,FALSE),"")</f>
        <v/>
      </c>
      <c r="M189" s="110"/>
      <c r="N189" s="104" t="e">
        <v>#N/A</v>
      </c>
    </row>
    <row r="190">
      <c r="A190" s="104">
        <v>82.0</v>
      </c>
      <c r="B190" s="105"/>
      <c r="C190" s="106" t="str">
        <f>IFERROR(VLOOKUP(B190,'Spesifikasi Bahan'!$A$2:$B$10074,2,FALSE),"")</f>
        <v/>
      </c>
      <c r="D190" s="106" t="str">
        <f>IFERROR(VLOOKUP(B190,'Spesifikasi Bahan'!$A$2:$C$10074,3,FALSE),"")</f>
        <v/>
      </c>
      <c r="E190" s="106" t="str">
        <f>IFERROR(VLOOKUP(B190,'Spesifikasi Bahan'!$A$2:$E$10074,5,FALSE),"")</f>
        <v/>
      </c>
      <c r="F190" s="106" t="str">
        <f>IFERROR(VLOOKUP(B190,'Spesifikasi Bahan'!$A$2:$F$10074,6,FALSE),"")</f>
        <v/>
      </c>
      <c r="G190" s="106" t="str">
        <f>IFERROR(VLOOKUP(B190,'Spesifikasi Bahan'!$A$2:$G$10074,7,FALSE),"")</f>
        <v/>
      </c>
      <c r="H190" s="107">
        <f t="shared" si="3"/>
        <v>0</v>
      </c>
      <c r="I190" s="107">
        <f>SUMIF('Form Responses Incoming'!$C$2:$C$10131,B190,'Form Responses Incoming'!$D$2:D10304)</f>
        <v>0</v>
      </c>
      <c r="J190" s="107">
        <f>SUMIF('Form Responses Usage'!$C$2:$C$11115,B190,'Form Responses Usage'!$D$2:$D$11115)</f>
        <v>0</v>
      </c>
      <c r="K190" s="108" t="str">
        <f t="shared" si="2"/>
        <v>Limited Stock</v>
      </c>
      <c r="L190" s="109" t="str">
        <f>IFERROR(VLOOKUP(B190,'Spesifikasi Bahan'!$A$2:$D$10074,4,FALSE),"")</f>
        <v/>
      </c>
      <c r="M190" s="110"/>
      <c r="N190" s="104" t="e">
        <v>#N/A</v>
      </c>
    </row>
    <row r="191">
      <c r="A191" s="104">
        <v>82.0</v>
      </c>
      <c r="B191" s="105"/>
      <c r="C191" s="106" t="str">
        <f>IFERROR(VLOOKUP(B191,'Spesifikasi Bahan'!$A$2:$B$10074,2,FALSE),"")</f>
        <v/>
      </c>
      <c r="D191" s="106" t="str">
        <f>IFERROR(VLOOKUP(B191,'Spesifikasi Bahan'!$A$2:$C$10074,3,FALSE),"")</f>
        <v/>
      </c>
      <c r="E191" s="106" t="str">
        <f>IFERROR(VLOOKUP(B191,'Spesifikasi Bahan'!$A$2:$E$10074,5,FALSE),"")</f>
        <v/>
      </c>
      <c r="F191" s="106" t="str">
        <f>IFERROR(VLOOKUP(B191,'Spesifikasi Bahan'!$A$2:$F$10074,6,FALSE),"")</f>
        <v/>
      </c>
      <c r="G191" s="106" t="str">
        <f>IFERROR(VLOOKUP(B191,'Spesifikasi Bahan'!$A$2:$G$10074,7,FALSE),"")</f>
        <v/>
      </c>
      <c r="H191" s="107">
        <f t="shared" si="3"/>
        <v>0</v>
      </c>
      <c r="I191" s="107">
        <f>SUMIF('Form Responses Incoming'!$C$2:$C$10131,B191,'Form Responses Incoming'!$D$2:D10305)</f>
        <v>0</v>
      </c>
      <c r="J191" s="107">
        <f>SUMIF('Form Responses Usage'!$C$2:$C$11115,B191,'Form Responses Usage'!$D$2:$D$11115)</f>
        <v>0</v>
      </c>
      <c r="K191" s="108" t="str">
        <f t="shared" si="2"/>
        <v>Limited Stock</v>
      </c>
      <c r="L191" s="109" t="str">
        <f>IFERROR(VLOOKUP(B191,'Spesifikasi Bahan'!$A$2:$D$10074,4,FALSE),"")</f>
        <v/>
      </c>
      <c r="M191" s="110"/>
      <c r="N191" s="104" t="e">
        <v>#N/A</v>
      </c>
    </row>
    <row r="192">
      <c r="A192" s="104">
        <v>82.0</v>
      </c>
      <c r="B192" s="105"/>
      <c r="C192" s="106" t="str">
        <f>IFERROR(VLOOKUP(B192,'Spesifikasi Bahan'!$A$2:$B$10074,2,FALSE),"")</f>
        <v/>
      </c>
      <c r="D192" s="106" t="str">
        <f>IFERROR(VLOOKUP(B192,'Spesifikasi Bahan'!$A$2:$C$10074,3,FALSE),"")</f>
        <v/>
      </c>
      <c r="E192" s="106" t="str">
        <f>IFERROR(VLOOKUP(B192,'Spesifikasi Bahan'!$A$2:$E$10074,5,FALSE),"")</f>
        <v/>
      </c>
      <c r="F192" s="106" t="str">
        <f>IFERROR(VLOOKUP(B192,'Spesifikasi Bahan'!$A$2:$F$10074,6,FALSE),"")</f>
        <v/>
      </c>
      <c r="G192" s="106" t="str">
        <f>IFERROR(VLOOKUP(B192,'Spesifikasi Bahan'!$A$2:$G$10074,7,FALSE),"")</f>
        <v/>
      </c>
      <c r="H192" s="107">
        <f t="shared" si="3"/>
        <v>0</v>
      </c>
      <c r="I192" s="107">
        <f>SUMIF('Form Responses Incoming'!$C$2:$C$10131,B192,'Form Responses Incoming'!$D$2:D10306)</f>
        <v>0</v>
      </c>
      <c r="J192" s="107">
        <f>SUMIF('Form Responses Usage'!$C$2:$C$11115,B192,'Form Responses Usage'!$D$2:$D$11115)</f>
        <v>0</v>
      </c>
      <c r="K192" s="108" t="str">
        <f t="shared" si="2"/>
        <v>Limited Stock</v>
      </c>
      <c r="L192" s="109" t="str">
        <f>IFERROR(VLOOKUP(B192,'Spesifikasi Bahan'!$A$2:$D$10074,4,FALSE),"")</f>
        <v/>
      </c>
      <c r="M192" s="110"/>
      <c r="N192" s="104" t="e">
        <v>#N/A</v>
      </c>
    </row>
    <row r="193">
      <c r="A193" s="104">
        <v>82.0</v>
      </c>
      <c r="B193" s="105"/>
      <c r="C193" s="106" t="str">
        <f>IFERROR(VLOOKUP(B193,'Spesifikasi Bahan'!$A$2:$B$10074,2,FALSE),"")</f>
        <v/>
      </c>
      <c r="D193" s="106" t="str">
        <f>IFERROR(VLOOKUP(B193,'Spesifikasi Bahan'!$A$2:$C$10074,3,FALSE),"")</f>
        <v/>
      </c>
      <c r="E193" s="106" t="str">
        <f>IFERROR(VLOOKUP(B193,'Spesifikasi Bahan'!$A$2:$E$10074,5,FALSE),"")</f>
        <v/>
      </c>
      <c r="F193" s="106" t="str">
        <f>IFERROR(VLOOKUP(B193,'Spesifikasi Bahan'!$A$2:$F$10074,6,FALSE),"")</f>
        <v/>
      </c>
      <c r="G193" s="106" t="str">
        <f>IFERROR(VLOOKUP(B193,'Spesifikasi Bahan'!$A$2:$G$10074,7,FALSE),"")</f>
        <v/>
      </c>
      <c r="H193" s="107">
        <f t="shared" si="3"/>
        <v>0</v>
      </c>
      <c r="I193" s="107">
        <f>SUMIF('Form Responses Incoming'!$C$2:$C$10131,B193,'Form Responses Incoming'!$D$2:D10307)</f>
        <v>0</v>
      </c>
      <c r="J193" s="107">
        <f>SUMIF('Form Responses Usage'!$C$2:$C$11115,B193,'Form Responses Usage'!$D$2:$D$11115)</f>
        <v>0</v>
      </c>
      <c r="K193" s="108" t="str">
        <f t="shared" si="2"/>
        <v>Limited Stock</v>
      </c>
      <c r="L193" s="109" t="str">
        <f>IFERROR(VLOOKUP(B193,'Spesifikasi Bahan'!$A$2:$D$10074,4,FALSE),"")</f>
        <v/>
      </c>
      <c r="M193" s="110"/>
      <c r="N193" s="104" t="e">
        <v>#N/A</v>
      </c>
    </row>
    <row r="194">
      <c r="A194" s="104">
        <v>82.0</v>
      </c>
      <c r="B194" s="105"/>
      <c r="C194" s="106" t="str">
        <f>IFERROR(VLOOKUP(B194,'Spesifikasi Bahan'!$A$2:$B$10074,2,FALSE),"")</f>
        <v/>
      </c>
      <c r="D194" s="106" t="str">
        <f>IFERROR(VLOOKUP(B194,'Spesifikasi Bahan'!$A$2:$C$10074,3,FALSE),"")</f>
        <v/>
      </c>
      <c r="E194" s="106" t="str">
        <f>IFERROR(VLOOKUP(B194,'Spesifikasi Bahan'!$A$2:$E$10074,5,FALSE),"")</f>
        <v/>
      </c>
      <c r="F194" s="106" t="str">
        <f>IFERROR(VLOOKUP(B194,'Spesifikasi Bahan'!$A$2:$F$10074,6,FALSE),"")</f>
        <v/>
      </c>
      <c r="G194" s="106" t="str">
        <f>IFERROR(VLOOKUP(B194,'Spesifikasi Bahan'!$A$2:$G$10074,7,FALSE),"")</f>
        <v/>
      </c>
      <c r="H194" s="107">
        <f t="shared" si="3"/>
        <v>0</v>
      </c>
      <c r="I194" s="107">
        <f>SUMIF('Form Responses Incoming'!$C$2:$C$10131,B194,'Form Responses Incoming'!$D$2:D10308)</f>
        <v>0</v>
      </c>
      <c r="J194" s="107">
        <f>SUMIF('Form Responses Usage'!$C$2:$C$11115,B194,'Form Responses Usage'!$D$2:$D$11115)</f>
        <v>0</v>
      </c>
      <c r="K194" s="108" t="str">
        <f t="shared" si="2"/>
        <v>Limited Stock</v>
      </c>
      <c r="L194" s="109" t="str">
        <f>IFERROR(VLOOKUP(B194,'Spesifikasi Bahan'!$A$2:$D$10074,4,FALSE),"")</f>
        <v/>
      </c>
      <c r="M194" s="110"/>
      <c r="N194" s="104" t="e">
        <v>#N/A</v>
      </c>
    </row>
    <row r="195">
      <c r="A195" s="104">
        <v>82.0</v>
      </c>
      <c r="B195" s="105"/>
      <c r="C195" s="106" t="str">
        <f>IFERROR(VLOOKUP(B195,'Spesifikasi Bahan'!$A$2:$B$10074,2,FALSE),"")</f>
        <v/>
      </c>
      <c r="D195" s="106" t="str">
        <f>IFERROR(VLOOKUP(B195,'Spesifikasi Bahan'!$A$2:$C$10074,3,FALSE),"")</f>
        <v/>
      </c>
      <c r="E195" s="106" t="str">
        <f>IFERROR(VLOOKUP(B195,'Spesifikasi Bahan'!$A$2:$E$10074,5,FALSE),"")</f>
        <v/>
      </c>
      <c r="F195" s="106" t="str">
        <f>IFERROR(VLOOKUP(B195,'Spesifikasi Bahan'!$A$2:$F$10074,6,FALSE),"")</f>
        <v/>
      </c>
      <c r="G195" s="106" t="str">
        <f>IFERROR(VLOOKUP(B195,'Spesifikasi Bahan'!$A$2:$G$10074,7,FALSE),"")</f>
        <v/>
      </c>
      <c r="H195" s="107">
        <f t="shared" si="3"/>
        <v>0</v>
      </c>
      <c r="I195" s="107">
        <f>SUMIF('Form Responses Incoming'!$C$2:$C$10131,B195,'Form Responses Incoming'!$D$2:D10309)</f>
        <v>0</v>
      </c>
      <c r="J195" s="107">
        <f>SUMIF('Form Responses Usage'!$C$2:$C$11115,B195,'Form Responses Usage'!$D$2:$D$11115)</f>
        <v>0</v>
      </c>
      <c r="K195" s="108" t="str">
        <f t="shared" si="2"/>
        <v>Limited Stock</v>
      </c>
      <c r="L195" s="109" t="str">
        <f>IFERROR(VLOOKUP(B195,'Spesifikasi Bahan'!$A$2:$D$10074,4,FALSE),"")</f>
        <v/>
      </c>
      <c r="M195" s="110"/>
      <c r="N195" s="104" t="e">
        <v>#N/A</v>
      </c>
    </row>
    <row r="196">
      <c r="A196" s="104">
        <v>82.0</v>
      </c>
      <c r="B196" s="105"/>
      <c r="C196" s="106" t="str">
        <f>IFERROR(VLOOKUP(B196,'Spesifikasi Bahan'!$A$2:$B$10074,2,FALSE),"")</f>
        <v/>
      </c>
      <c r="D196" s="106" t="str">
        <f>IFERROR(VLOOKUP(B196,'Spesifikasi Bahan'!$A$2:$C$10074,3,FALSE),"")</f>
        <v/>
      </c>
      <c r="E196" s="106" t="str">
        <f>IFERROR(VLOOKUP(B196,'Spesifikasi Bahan'!$A$2:$E$10074,5,FALSE),"")</f>
        <v/>
      </c>
      <c r="F196" s="106" t="str">
        <f>IFERROR(VLOOKUP(B196,'Spesifikasi Bahan'!$A$2:$F$10074,6,FALSE),"")</f>
        <v/>
      </c>
      <c r="G196" s="106" t="str">
        <f>IFERROR(VLOOKUP(B196,'Spesifikasi Bahan'!$A$2:$G$10074,7,FALSE),"")</f>
        <v/>
      </c>
      <c r="H196" s="107">
        <f t="shared" si="3"/>
        <v>0</v>
      </c>
      <c r="I196" s="107">
        <f>SUMIF('Form Responses Incoming'!$C$2:$C$10131,B196,'Form Responses Incoming'!$D$2:D10310)</f>
        <v>0</v>
      </c>
      <c r="J196" s="107">
        <f>SUMIF('Form Responses Usage'!$C$2:$C$11115,B196,'Form Responses Usage'!$D$2:$D$11115)</f>
        <v>0</v>
      </c>
      <c r="K196" s="108" t="str">
        <f t="shared" si="2"/>
        <v>Limited Stock</v>
      </c>
      <c r="L196" s="109" t="str">
        <f>IFERROR(VLOOKUP(B196,'Spesifikasi Bahan'!$A$2:$D$10074,4,FALSE),"")</f>
        <v/>
      </c>
      <c r="M196" s="110"/>
      <c r="N196" s="104" t="e">
        <v>#N/A</v>
      </c>
    </row>
    <row r="197">
      <c r="A197" s="104">
        <v>82.0</v>
      </c>
      <c r="B197" s="105"/>
      <c r="C197" s="106" t="str">
        <f>IFERROR(VLOOKUP(B197,'Spesifikasi Bahan'!$A$2:$B$10074,2,FALSE),"")</f>
        <v/>
      </c>
      <c r="D197" s="106" t="str">
        <f>IFERROR(VLOOKUP(B197,'Spesifikasi Bahan'!$A$2:$C$10074,3,FALSE),"")</f>
        <v/>
      </c>
      <c r="E197" s="106" t="str">
        <f>IFERROR(VLOOKUP(B197,'Spesifikasi Bahan'!$A$2:$E$10074,5,FALSE),"")</f>
        <v/>
      </c>
      <c r="F197" s="106" t="str">
        <f>IFERROR(VLOOKUP(B197,'Spesifikasi Bahan'!$A$2:$F$10074,6,FALSE),"")</f>
        <v/>
      </c>
      <c r="G197" s="106" t="str">
        <f>IFERROR(VLOOKUP(B197,'Spesifikasi Bahan'!$A$2:$G$10074,7,FALSE),"")</f>
        <v/>
      </c>
      <c r="H197" s="107">
        <f t="shared" si="3"/>
        <v>0</v>
      </c>
      <c r="I197" s="107">
        <f>SUMIF('Form Responses Incoming'!$C$2:$C$10131,B197,'Form Responses Incoming'!$D$2:D10311)</f>
        <v>0</v>
      </c>
      <c r="J197" s="107">
        <f>SUMIF('Form Responses Usage'!$C$2:$C$11115,B197,'Form Responses Usage'!$D$2:$D$11115)</f>
        <v>0</v>
      </c>
      <c r="K197" s="108" t="str">
        <f t="shared" si="2"/>
        <v>Limited Stock</v>
      </c>
      <c r="L197" s="109" t="str">
        <f>IFERROR(VLOOKUP(B197,'Spesifikasi Bahan'!$A$2:$D$10074,4,FALSE),"")</f>
        <v/>
      </c>
      <c r="M197" s="110"/>
      <c r="N197" s="104" t="e">
        <v>#N/A</v>
      </c>
    </row>
    <row r="198">
      <c r="A198" s="104">
        <v>82.0</v>
      </c>
      <c r="B198" s="105"/>
      <c r="C198" s="106" t="str">
        <f>IFERROR(VLOOKUP(B198,'Spesifikasi Bahan'!$A$2:$B$10074,2,FALSE),"")</f>
        <v/>
      </c>
      <c r="D198" s="106" t="str">
        <f>IFERROR(VLOOKUP(B198,'Spesifikasi Bahan'!$A$2:$C$10074,3,FALSE),"")</f>
        <v/>
      </c>
      <c r="E198" s="106" t="str">
        <f>IFERROR(VLOOKUP(B198,'Spesifikasi Bahan'!$A$2:$E$10074,5,FALSE),"")</f>
        <v/>
      </c>
      <c r="F198" s="106" t="str">
        <f>IFERROR(VLOOKUP(B198,'Spesifikasi Bahan'!$A$2:$F$10074,6,FALSE),"")</f>
        <v/>
      </c>
      <c r="G198" s="106" t="str">
        <f>IFERROR(VLOOKUP(B198,'Spesifikasi Bahan'!$A$2:$G$10074,7,FALSE),"")</f>
        <v/>
      </c>
      <c r="H198" s="107">
        <f t="shared" si="3"/>
        <v>0</v>
      </c>
      <c r="I198" s="107">
        <f>SUMIF('Form Responses Incoming'!$C$2:$C$10131,B198,'Form Responses Incoming'!$D$2:D10312)</f>
        <v>0</v>
      </c>
      <c r="J198" s="107">
        <f>SUMIF('Form Responses Usage'!$C$2:$C$11115,B198,'Form Responses Usage'!$D$2:$D$11115)</f>
        <v>0</v>
      </c>
      <c r="K198" s="108" t="str">
        <f t="shared" si="2"/>
        <v>Limited Stock</v>
      </c>
      <c r="L198" s="109" t="str">
        <f>IFERROR(VLOOKUP(B198,'Spesifikasi Bahan'!$A$2:$D$10074,4,FALSE),"")</f>
        <v/>
      </c>
      <c r="M198" s="110"/>
      <c r="N198" s="104" t="e">
        <v>#N/A</v>
      </c>
    </row>
    <row r="199">
      <c r="A199" s="104">
        <v>82.0</v>
      </c>
      <c r="B199" s="105"/>
      <c r="C199" s="106" t="str">
        <f>IFERROR(VLOOKUP(B199,'Spesifikasi Bahan'!$A$2:$B$10074,2,FALSE),"")</f>
        <v/>
      </c>
      <c r="D199" s="106" t="str">
        <f>IFERROR(VLOOKUP(B199,'Spesifikasi Bahan'!$A$2:$C$10074,3,FALSE),"")</f>
        <v/>
      </c>
      <c r="E199" s="106" t="str">
        <f>IFERROR(VLOOKUP(B199,'Spesifikasi Bahan'!$A$2:$E$10074,5,FALSE),"")</f>
        <v/>
      </c>
      <c r="F199" s="106" t="str">
        <f>IFERROR(VLOOKUP(B199,'Spesifikasi Bahan'!$A$2:$F$10074,6,FALSE),"")</f>
        <v/>
      </c>
      <c r="G199" s="106" t="str">
        <f>IFERROR(VLOOKUP(B199,'Spesifikasi Bahan'!$A$2:$G$10074,7,FALSE),"")</f>
        <v/>
      </c>
      <c r="H199" s="107">
        <f t="shared" si="3"/>
        <v>0</v>
      </c>
      <c r="I199" s="107">
        <f>SUMIF('Form Responses Incoming'!$C$2:$C$10131,B199,'Form Responses Incoming'!$D$2:D10313)</f>
        <v>0</v>
      </c>
      <c r="J199" s="107">
        <f>SUMIF('Form Responses Usage'!$C$2:$C$11115,B199,'Form Responses Usage'!$D$2:$D$11115)</f>
        <v>0</v>
      </c>
      <c r="K199" s="108" t="str">
        <f t="shared" si="2"/>
        <v>Limited Stock</v>
      </c>
      <c r="L199" s="109" t="str">
        <f>IFERROR(VLOOKUP(B199,'Spesifikasi Bahan'!$A$2:$D$10074,4,FALSE),"")</f>
        <v/>
      </c>
      <c r="M199" s="110"/>
      <c r="N199" s="104" t="e">
        <v>#N/A</v>
      </c>
    </row>
    <row r="200">
      <c r="A200" s="104">
        <v>82.0</v>
      </c>
      <c r="B200" s="105"/>
      <c r="C200" s="106" t="str">
        <f>IFERROR(VLOOKUP(B200,'Spesifikasi Bahan'!$A$2:$B$10074,2,FALSE),"")</f>
        <v/>
      </c>
      <c r="D200" s="106" t="str">
        <f>IFERROR(VLOOKUP(B200,'Spesifikasi Bahan'!$A$2:$C$10074,3,FALSE),"")</f>
        <v/>
      </c>
      <c r="E200" s="106" t="str">
        <f>IFERROR(VLOOKUP(B200,'Spesifikasi Bahan'!$A$2:$E$10074,5,FALSE),"")</f>
        <v/>
      </c>
      <c r="F200" s="106" t="str">
        <f>IFERROR(VLOOKUP(B200,'Spesifikasi Bahan'!$A$2:$F$10074,6,FALSE),"")</f>
        <v/>
      </c>
      <c r="G200" s="106" t="str">
        <f>IFERROR(VLOOKUP(B200,'Spesifikasi Bahan'!$A$2:$G$10074,7,FALSE),"")</f>
        <v/>
      </c>
      <c r="H200" s="107">
        <f t="shared" si="3"/>
        <v>0</v>
      </c>
      <c r="I200" s="107">
        <f>SUMIF('Form Responses Incoming'!$C$2:$C$10131,B200,'Form Responses Incoming'!$D$2:D10314)</f>
        <v>0</v>
      </c>
      <c r="J200" s="107">
        <f>SUMIF('Form Responses Usage'!$C$2:$C$11115,B200,'Form Responses Usage'!$D$2:$D$11115)</f>
        <v>0</v>
      </c>
      <c r="K200" s="108" t="str">
        <f t="shared" si="2"/>
        <v>Limited Stock</v>
      </c>
      <c r="L200" s="109" t="str">
        <f>IFERROR(VLOOKUP(B200,'Spesifikasi Bahan'!$A$2:$D$10074,4,FALSE),"")</f>
        <v/>
      </c>
      <c r="M200" s="110"/>
      <c r="N200" s="104" t="e">
        <v>#N/A</v>
      </c>
    </row>
    <row r="201">
      <c r="A201" s="104">
        <v>82.0</v>
      </c>
      <c r="B201" s="105"/>
      <c r="C201" s="106" t="str">
        <f>IFERROR(VLOOKUP(B201,'Spesifikasi Bahan'!$A$2:$B$10074,2,FALSE),"")</f>
        <v/>
      </c>
      <c r="D201" s="106" t="str">
        <f>IFERROR(VLOOKUP(B201,'Spesifikasi Bahan'!$A$2:$C$10074,3,FALSE),"")</f>
        <v/>
      </c>
      <c r="E201" s="106" t="str">
        <f>IFERROR(VLOOKUP(B201,'Spesifikasi Bahan'!$A$2:$E$10074,5,FALSE),"")</f>
        <v/>
      </c>
      <c r="F201" s="106" t="str">
        <f>IFERROR(VLOOKUP(B201,'Spesifikasi Bahan'!$A$2:$F$10074,6,FALSE),"")</f>
        <v/>
      </c>
      <c r="G201" s="106" t="str">
        <f>IFERROR(VLOOKUP(B201,'Spesifikasi Bahan'!$A$2:$G$10074,7,FALSE),"")</f>
        <v/>
      </c>
      <c r="H201" s="107">
        <f t="shared" si="3"/>
        <v>0</v>
      </c>
      <c r="I201" s="107">
        <f>SUMIF('Form Responses Incoming'!$C$2:$C$10131,B201,'Form Responses Incoming'!$D$2:D10315)</f>
        <v>0</v>
      </c>
      <c r="J201" s="107">
        <f>SUMIF('Form Responses Usage'!$C$2:$C$11115,B201,'Form Responses Usage'!$D$2:$D$11115)</f>
        <v>0</v>
      </c>
      <c r="K201" s="108" t="str">
        <f t="shared" si="2"/>
        <v>Limited Stock</v>
      </c>
      <c r="L201" s="109" t="str">
        <f>IFERROR(VLOOKUP(B201,'Spesifikasi Bahan'!$A$2:$D$10074,4,FALSE),"")</f>
        <v/>
      </c>
      <c r="M201" s="110"/>
      <c r="N201" s="104" t="e">
        <v>#N/A</v>
      </c>
    </row>
    <row r="202">
      <c r="A202" s="104">
        <v>82.0</v>
      </c>
      <c r="B202" s="105"/>
      <c r="C202" s="106" t="str">
        <f>IFERROR(VLOOKUP(B202,'Spesifikasi Bahan'!$A$2:$B$10074,2,FALSE),"")</f>
        <v/>
      </c>
      <c r="D202" s="106" t="str">
        <f>IFERROR(VLOOKUP(B202,'Spesifikasi Bahan'!$A$2:$C$10074,3,FALSE),"")</f>
        <v/>
      </c>
      <c r="E202" s="106" t="str">
        <f>IFERROR(VLOOKUP(B202,'Spesifikasi Bahan'!$A$2:$E$10074,5,FALSE),"")</f>
        <v/>
      </c>
      <c r="F202" s="106" t="str">
        <f>IFERROR(VLOOKUP(B202,'Spesifikasi Bahan'!$A$2:$F$10074,6,FALSE),"")</f>
        <v/>
      </c>
      <c r="G202" s="106" t="str">
        <f>IFERROR(VLOOKUP(B202,'Spesifikasi Bahan'!$A$2:$G$10074,7,FALSE),"")</f>
        <v/>
      </c>
      <c r="H202" s="107">
        <f t="shared" si="3"/>
        <v>0</v>
      </c>
      <c r="I202" s="107">
        <f>SUMIF('Form Responses Incoming'!$C$2:$C$10131,B202,'Form Responses Incoming'!$D$2:D10316)</f>
        <v>0</v>
      </c>
      <c r="J202" s="107">
        <f>SUMIF('Form Responses Usage'!$C$2:$C$11115,B202,'Form Responses Usage'!$D$2:$D$11115)</f>
        <v>0</v>
      </c>
      <c r="K202" s="108" t="str">
        <f t="shared" si="2"/>
        <v>Limited Stock</v>
      </c>
      <c r="L202" s="109" t="str">
        <f>IFERROR(VLOOKUP(B202,'Spesifikasi Bahan'!$A$2:$D$10074,4,FALSE),"")</f>
        <v/>
      </c>
      <c r="M202" s="110"/>
      <c r="N202" s="104" t="e">
        <v>#N/A</v>
      </c>
    </row>
    <row r="203">
      <c r="A203" s="104">
        <v>82.0</v>
      </c>
      <c r="B203" s="105"/>
      <c r="C203" s="106" t="str">
        <f>IFERROR(VLOOKUP(B203,'Spesifikasi Bahan'!$A$2:$B$10074,2,FALSE),"")</f>
        <v/>
      </c>
      <c r="D203" s="106" t="str">
        <f>IFERROR(VLOOKUP(B203,'Spesifikasi Bahan'!$A$2:$C$10074,3,FALSE),"")</f>
        <v/>
      </c>
      <c r="E203" s="106" t="str">
        <f>IFERROR(VLOOKUP(B203,'Spesifikasi Bahan'!$A$2:$E$10074,5,FALSE),"")</f>
        <v/>
      </c>
      <c r="F203" s="106" t="str">
        <f>IFERROR(VLOOKUP(B203,'Spesifikasi Bahan'!$A$2:$F$10074,6,FALSE),"")</f>
        <v/>
      </c>
      <c r="G203" s="106" t="str">
        <f>IFERROR(VLOOKUP(B203,'Spesifikasi Bahan'!$A$2:$G$10074,7,FALSE),"")</f>
        <v/>
      </c>
      <c r="H203" s="107">
        <f t="shared" si="3"/>
        <v>0</v>
      </c>
      <c r="I203" s="107">
        <f>SUMIF('Form Responses Incoming'!$C$2:$C$10131,B203,'Form Responses Incoming'!$D$2:D10317)</f>
        <v>0</v>
      </c>
      <c r="J203" s="107">
        <f>SUMIF('Form Responses Usage'!$C$2:$C$11115,B203,'Form Responses Usage'!$D$2:$D$11115)</f>
        <v>0</v>
      </c>
      <c r="K203" s="108" t="str">
        <f t="shared" si="2"/>
        <v>Limited Stock</v>
      </c>
      <c r="L203" s="109" t="str">
        <f>IFERROR(VLOOKUP(B203,'Spesifikasi Bahan'!$A$2:$D$10074,4,FALSE),"")</f>
        <v/>
      </c>
      <c r="M203" s="110"/>
      <c r="N203" s="104" t="e">
        <v>#N/A</v>
      </c>
    </row>
    <row r="204">
      <c r="A204" s="104">
        <v>82.0</v>
      </c>
      <c r="B204" s="105"/>
      <c r="C204" s="106" t="str">
        <f>IFERROR(VLOOKUP(B204,'Spesifikasi Bahan'!$A$2:$B$10074,2,FALSE),"")</f>
        <v/>
      </c>
      <c r="D204" s="106" t="str">
        <f>IFERROR(VLOOKUP(B204,'Spesifikasi Bahan'!$A$2:$C$10074,3,FALSE),"")</f>
        <v/>
      </c>
      <c r="E204" s="106" t="str">
        <f>IFERROR(VLOOKUP(B204,'Spesifikasi Bahan'!$A$2:$E$10074,5,FALSE),"")</f>
        <v/>
      </c>
      <c r="F204" s="106" t="str">
        <f>IFERROR(VLOOKUP(B204,'Spesifikasi Bahan'!$A$2:$F$10074,6,FALSE),"")</f>
        <v/>
      </c>
      <c r="G204" s="106" t="str">
        <f>IFERROR(VLOOKUP(B204,'Spesifikasi Bahan'!$A$2:$G$10074,7,FALSE),"")</f>
        <v/>
      </c>
      <c r="H204" s="107">
        <f t="shared" si="3"/>
        <v>0</v>
      </c>
      <c r="I204" s="107">
        <f>SUMIF('Form Responses Incoming'!$C$2:$C$10131,B204,'Form Responses Incoming'!$D$2:D10318)</f>
        <v>0</v>
      </c>
      <c r="J204" s="107">
        <f>SUMIF('Form Responses Usage'!$C$2:$C$11115,B204,'Form Responses Usage'!$D$2:$D$11115)</f>
        <v>0</v>
      </c>
      <c r="K204" s="108" t="str">
        <f t="shared" si="2"/>
        <v>Limited Stock</v>
      </c>
      <c r="L204" s="109" t="str">
        <f>IFERROR(VLOOKUP(B204,'Spesifikasi Bahan'!$A$2:$D$10074,4,FALSE),"")</f>
        <v/>
      </c>
      <c r="M204" s="110"/>
      <c r="N204" s="104" t="e">
        <v>#N/A</v>
      </c>
    </row>
    <row r="205">
      <c r="A205" s="104">
        <v>82.0</v>
      </c>
      <c r="B205" s="105"/>
      <c r="C205" s="106" t="str">
        <f>IFERROR(VLOOKUP(B205,'Spesifikasi Bahan'!$A$2:$B$10074,2,FALSE),"")</f>
        <v/>
      </c>
      <c r="D205" s="106" t="str">
        <f>IFERROR(VLOOKUP(B205,'Spesifikasi Bahan'!$A$2:$C$10074,3,FALSE),"")</f>
        <v/>
      </c>
      <c r="E205" s="106" t="str">
        <f>IFERROR(VLOOKUP(B205,'Spesifikasi Bahan'!$A$2:$E$10074,5,FALSE),"")</f>
        <v/>
      </c>
      <c r="F205" s="106" t="str">
        <f>IFERROR(VLOOKUP(B205,'Spesifikasi Bahan'!$A$2:$F$10074,6,FALSE),"")</f>
        <v/>
      </c>
      <c r="G205" s="106" t="str">
        <f>IFERROR(VLOOKUP(B205,'Spesifikasi Bahan'!$A$2:$G$10074,7,FALSE),"")</f>
        <v/>
      </c>
      <c r="H205" s="107">
        <f t="shared" si="3"/>
        <v>0</v>
      </c>
      <c r="I205" s="107">
        <f>SUMIF('Form Responses Incoming'!$C$2:$C$10131,B205,'Form Responses Incoming'!$D$2:D10319)</f>
        <v>0</v>
      </c>
      <c r="J205" s="107">
        <f>SUMIF('Form Responses Usage'!$C$2:$C$11115,B205,'Form Responses Usage'!$D$2:$D$11115)</f>
        <v>0</v>
      </c>
      <c r="K205" s="108" t="str">
        <f t="shared" si="2"/>
        <v>Limited Stock</v>
      </c>
      <c r="L205" s="109" t="str">
        <f>IFERROR(VLOOKUP(B205,'Spesifikasi Bahan'!$A$2:$D$10074,4,FALSE),"")</f>
        <v/>
      </c>
      <c r="M205" s="110"/>
      <c r="N205" s="104" t="e">
        <v>#N/A</v>
      </c>
    </row>
    <row r="206">
      <c r="L206" s="109" t="str">
        <f>IFERROR(VLOOKUP(B206,'Spesifikasi Bahan'!$A$2:$D$10074,4,FALSE),"")</f>
        <v/>
      </c>
    </row>
    <row r="207">
      <c r="L207" s="109" t="str">
        <f>IFERROR(VLOOKUP(B207,'Spesifikasi Bahan'!$A$2:$D$10074,4,FALSE),"")</f>
        <v/>
      </c>
    </row>
    <row r="208">
      <c r="L208" s="109" t="str">
        <f>IFERROR(VLOOKUP(B208,'Spesifikasi Bahan'!$A$2:$D$10074,4,FALSE),"")</f>
        <v/>
      </c>
    </row>
    <row r="209">
      <c r="L209" s="109" t="str">
        <f>IFERROR(VLOOKUP(B209,'Spesifikasi Bahan'!$A$2:$D$10074,4,FALSE),"")</f>
        <v/>
      </c>
    </row>
    <row r="210">
      <c r="L210" s="109" t="str">
        <f>IFERROR(VLOOKUP(B210,'Spesifikasi Bahan'!$A$2:$D$10074,4,FALSE),"")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13" t="s">
        <v>1067</v>
      </c>
      <c r="B1" s="113" t="s">
        <v>1068</v>
      </c>
      <c r="C1" s="113" t="s">
        <v>1069</v>
      </c>
      <c r="D1" s="113" t="s">
        <v>1070</v>
      </c>
      <c r="E1" s="113" t="s">
        <v>1071</v>
      </c>
      <c r="F1" s="113" t="s">
        <v>1072</v>
      </c>
    </row>
    <row r="2" ht="22.5" customHeight="1">
      <c r="A2" s="114">
        <v>45839.55124274305</v>
      </c>
      <c r="B2" s="115">
        <v>45839.0</v>
      </c>
      <c r="C2" s="116" t="s">
        <v>10</v>
      </c>
      <c r="D2" s="116">
        <v>500.0</v>
      </c>
      <c r="E2" s="116" t="s">
        <v>1073</v>
      </c>
      <c r="F2" s="115">
        <v>46987.0</v>
      </c>
    </row>
    <row r="3" ht="22.5" customHeight="1">
      <c r="A3" s="117">
        <v>45840.65519506944</v>
      </c>
      <c r="B3" s="118">
        <v>45818.0</v>
      </c>
      <c r="C3" s="119" t="s">
        <v>18</v>
      </c>
      <c r="D3" s="119">
        <v>500.0</v>
      </c>
      <c r="E3" s="119" t="s">
        <v>1073</v>
      </c>
      <c r="F3" s="118">
        <v>46356.0</v>
      </c>
    </row>
    <row r="4" ht="22.5" customHeight="1">
      <c r="A4" s="117">
        <v>45840.69647304398</v>
      </c>
      <c r="B4" s="118">
        <v>45819.0</v>
      </c>
      <c r="C4" s="119" t="s">
        <v>25</v>
      </c>
      <c r="D4" s="119">
        <v>25.0</v>
      </c>
      <c r="E4" s="119" t="s">
        <v>1073</v>
      </c>
      <c r="F4" s="118">
        <v>46843.0</v>
      </c>
    </row>
    <row r="5" ht="22.5" customHeight="1">
      <c r="A5" s="117">
        <v>45840.69947194445</v>
      </c>
      <c r="B5" s="118">
        <v>45819.0</v>
      </c>
      <c r="C5" s="119" t="s">
        <v>31</v>
      </c>
      <c r="D5" s="119">
        <v>250.0</v>
      </c>
      <c r="E5" s="119" t="s">
        <v>1073</v>
      </c>
      <c r="F5" s="118">
        <v>47391.0</v>
      </c>
    </row>
    <row r="6" ht="22.5" customHeight="1">
      <c r="A6" s="117">
        <v>46014.7094212963</v>
      </c>
      <c r="B6" s="118">
        <v>45819.0</v>
      </c>
      <c r="C6" s="119" t="s">
        <v>45</v>
      </c>
      <c r="D6" s="119">
        <v>100.0</v>
      </c>
      <c r="E6" s="119" t="s">
        <v>1073</v>
      </c>
      <c r="F6" s="120">
        <v>47452.0</v>
      </c>
    </row>
    <row r="7" ht="22.5" customHeight="1">
      <c r="A7" s="117">
        <v>45840.71068986111</v>
      </c>
      <c r="B7" s="118">
        <v>45819.0</v>
      </c>
      <c r="C7" s="119" t="s">
        <v>52</v>
      </c>
      <c r="D7" s="119">
        <v>25.0</v>
      </c>
      <c r="E7" s="119" t="s">
        <v>1073</v>
      </c>
      <c r="F7" s="118">
        <v>46081.0</v>
      </c>
    </row>
    <row r="8" ht="22.5" customHeight="1">
      <c r="A8" s="117">
        <v>45840.71154173611</v>
      </c>
      <c r="B8" s="118">
        <v>45819.0</v>
      </c>
      <c r="C8" s="119" t="s">
        <v>59</v>
      </c>
      <c r="D8" s="119">
        <v>250.0</v>
      </c>
      <c r="E8" s="119" t="s">
        <v>1073</v>
      </c>
      <c r="F8" s="118">
        <v>46326.0</v>
      </c>
    </row>
    <row r="9" ht="22.5" customHeight="1">
      <c r="A9" s="117">
        <v>45840.7125881713</v>
      </c>
      <c r="B9" s="118">
        <v>45819.0</v>
      </c>
      <c r="C9" s="119" t="s">
        <v>66</v>
      </c>
      <c r="D9" s="119">
        <v>500.0</v>
      </c>
      <c r="E9" s="119" t="s">
        <v>1073</v>
      </c>
      <c r="F9" s="118">
        <v>47787.0</v>
      </c>
    </row>
    <row r="10" ht="22.5" customHeight="1">
      <c r="A10" s="117">
        <v>45840.71342331018</v>
      </c>
      <c r="B10" s="118">
        <v>45819.0</v>
      </c>
      <c r="C10" s="119" t="s">
        <v>73</v>
      </c>
      <c r="D10" s="119">
        <v>25.0</v>
      </c>
      <c r="E10" s="119" t="s">
        <v>1073</v>
      </c>
      <c r="F10" s="118">
        <v>46721.0</v>
      </c>
    </row>
    <row r="11" ht="22.5" customHeight="1">
      <c r="A11" s="117">
        <v>45840.71447579861</v>
      </c>
      <c r="B11" s="118">
        <v>45819.0</v>
      </c>
      <c r="C11" s="119" t="s">
        <v>80</v>
      </c>
      <c r="D11" s="119">
        <v>50.0</v>
      </c>
      <c r="E11" s="119" t="s">
        <v>1073</v>
      </c>
      <c r="F11" s="118">
        <v>46081.0</v>
      </c>
    </row>
    <row r="12" ht="22.5" customHeight="1">
      <c r="A12" s="117">
        <v>45840.71575938657</v>
      </c>
      <c r="B12" s="118">
        <v>45819.0</v>
      </c>
      <c r="C12" s="119" t="s">
        <v>87</v>
      </c>
      <c r="D12" s="119">
        <v>5.0</v>
      </c>
      <c r="E12" s="119" t="s">
        <v>1073</v>
      </c>
      <c r="F12" s="118">
        <v>46112.0</v>
      </c>
    </row>
    <row r="13" ht="22.5" customHeight="1">
      <c r="A13" s="117">
        <v>45840.719182256944</v>
      </c>
      <c r="B13" s="118">
        <v>45819.0</v>
      </c>
      <c r="C13" s="119" t="s">
        <v>94</v>
      </c>
      <c r="D13" s="119">
        <v>10.0</v>
      </c>
      <c r="E13" s="119" t="s">
        <v>1073</v>
      </c>
      <c r="F13" s="118">
        <v>45930.0</v>
      </c>
    </row>
    <row r="14" ht="22.5" customHeight="1">
      <c r="A14" s="117">
        <v>45841.365582592596</v>
      </c>
      <c r="B14" s="118">
        <v>45819.0</v>
      </c>
      <c r="C14" s="119" t="s">
        <v>38</v>
      </c>
      <c r="D14" s="119">
        <v>250.0</v>
      </c>
      <c r="E14" s="119" t="s">
        <v>1073</v>
      </c>
      <c r="F14" s="118">
        <v>46934.0</v>
      </c>
    </row>
    <row r="15" ht="22.5" customHeight="1">
      <c r="A15" s="117">
        <v>45841.370858159724</v>
      </c>
      <c r="B15" s="118">
        <v>45819.0</v>
      </c>
      <c r="C15" s="119" t="s">
        <v>101</v>
      </c>
      <c r="D15" s="119">
        <v>5.0</v>
      </c>
      <c r="E15" s="119" t="s">
        <v>1073</v>
      </c>
      <c r="F15" s="118">
        <v>45930.0</v>
      </c>
    </row>
    <row r="16" ht="22.5" customHeight="1">
      <c r="A16" s="117">
        <v>45841.37134987269</v>
      </c>
      <c r="B16" s="118">
        <v>45819.0</v>
      </c>
      <c r="C16" s="119" t="s">
        <v>108</v>
      </c>
      <c r="D16" s="119">
        <v>105.0</v>
      </c>
      <c r="E16" s="119" t="s">
        <v>1073</v>
      </c>
      <c r="F16" s="118">
        <v>46081.0</v>
      </c>
    </row>
    <row r="17" ht="22.5" customHeight="1">
      <c r="A17" s="117">
        <v>45841.38011971065</v>
      </c>
      <c r="B17" s="118">
        <v>45819.0</v>
      </c>
      <c r="C17" s="119" t="s">
        <v>115</v>
      </c>
      <c r="D17" s="119">
        <v>500.0</v>
      </c>
      <c r="E17" s="119" t="s">
        <v>1073</v>
      </c>
      <c r="F17" s="118">
        <v>47118.0</v>
      </c>
    </row>
    <row r="18" ht="22.5" customHeight="1">
      <c r="A18" s="117">
        <v>45841.38096368055</v>
      </c>
      <c r="B18" s="118">
        <v>45819.0</v>
      </c>
      <c r="C18" s="119" t="s">
        <v>122</v>
      </c>
      <c r="D18" s="119">
        <v>250.0</v>
      </c>
      <c r="E18" s="119" t="s">
        <v>1073</v>
      </c>
      <c r="F18" s="118">
        <v>46997.0</v>
      </c>
    </row>
    <row r="19" ht="22.5" customHeight="1">
      <c r="A19" s="117">
        <v>45841.38165481482</v>
      </c>
      <c r="B19" s="118">
        <v>45819.0</v>
      </c>
      <c r="C19" s="119" t="s">
        <v>129</v>
      </c>
      <c r="D19" s="119">
        <v>250.0</v>
      </c>
      <c r="E19" s="119" t="s">
        <v>1073</v>
      </c>
      <c r="F19" s="118">
        <v>46568.0</v>
      </c>
    </row>
    <row r="20" ht="22.5" customHeight="1">
      <c r="A20" s="117">
        <v>45841.382152314814</v>
      </c>
      <c r="B20" s="118">
        <v>45819.0</v>
      </c>
      <c r="C20" s="119" t="s">
        <v>135</v>
      </c>
      <c r="D20" s="119">
        <v>250.0</v>
      </c>
      <c r="E20" s="119" t="s">
        <v>1073</v>
      </c>
      <c r="F20" s="118">
        <v>47169.0</v>
      </c>
    </row>
    <row r="21" ht="22.5" customHeight="1">
      <c r="A21" s="117">
        <v>45841.38914038194</v>
      </c>
      <c r="B21" s="118">
        <v>45819.0</v>
      </c>
      <c r="C21" s="119" t="s">
        <v>142</v>
      </c>
      <c r="D21" s="119">
        <v>500.0</v>
      </c>
      <c r="E21" s="119" t="s">
        <v>1073</v>
      </c>
      <c r="F21" s="118">
        <v>46934.0</v>
      </c>
    </row>
    <row r="22" ht="22.5" customHeight="1">
      <c r="A22" s="117">
        <v>45841.390542256944</v>
      </c>
      <c r="B22" s="118">
        <v>46184.0</v>
      </c>
      <c r="C22" s="119" t="s">
        <v>149</v>
      </c>
      <c r="D22" s="119">
        <v>500.0</v>
      </c>
      <c r="E22" s="119" t="s">
        <v>1073</v>
      </c>
      <c r="F22" s="118">
        <v>46438.0</v>
      </c>
    </row>
    <row r="23" ht="22.5" customHeight="1">
      <c r="A23" s="117">
        <v>45841.39094949074</v>
      </c>
      <c r="B23" s="118">
        <v>45819.0</v>
      </c>
      <c r="C23" s="119" t="s">
        <v>155</v>
      </c>
      <c r="D23" s="119">
        <v>500.0</v>
      </c>
      <c r="E23" s="119" t="s">
        <v>1073</v>
      </c>
      <c r="F23" s="118">
        <v>46455.0</v>
      </c>
    </row>
    <row r="24" ht="22.5" customHeight="1">
      <c r="A24" s="117">
        <v>45841.39200896991</v>
      </c>
      <c r="B24" s="118">
        <v>45819.0</v>
      </c>
      <c r="C24" s="119" t="s">
        <v>163</v>
      </c>
      <c r="D24" s="119">
        <v>1000.0</v>
      </c>
      <c r="E24" s="119" t="s">
        <v>1073</v>
      </c>
      <c r="F24" s="118">
        <v>47330.0</v>
      </c>
    </row>
    <row r="25" ht="22.5" customHeight="1">
      <c r="A25" s="117">
        <v>45841.3929838426</v>
      </c>
      <c r="B25" s="118">
        <v>45819.0</v>
      </c>
      <c r="C25" s="119" t="s">
        <v>177</v>
      </c>
      <c r="D25" s="119">
        <v>1000.0</v>
      </c>
      <c r="E25" s="119" t="s">
        <v>1073</v>
      </c>
      <c r="F25" s="118">
        <v>46818.0</v>
      </c>
    </row>
    <row r="26" ht="22.5" customHeight="1">
      <c r="A26" s="117">
        <v>45841.39353018519</v>
      </c>
      <c r="B26" s="118">
        <v>45819.0</v>
      </c>
      <c r="C26" s="119" t="s">
        <v>184</v>
      </c>
      <c r="D26" s="119">
        <v>500.0</v>
      </c>
      <c r="E26" s="119" t="s">
        <v>1073</v>
      </c>
      <c r="F26" s="118">
        <v>46783.0</v>
      </c>
    </row>
    <row r="27" ht="22.5" customHeight="1">
      <c r="A27" s="117">
        <v>45841.3939658912</v>
      </c>
      <c r="B27" s="118">
        <v>45819.0</v>
      </c>
      <c r="C27" s="119" t="s">
        <v>191</v>
      </c>
      <c r="D27" s="119">
        <v>25.0</v>
      </c>
      <c r="E27" s="119" t="s">
        <v>1073</v>
      </c>
      <c r="F27" s="118">
        <v>47088.0</v>
      </c>
    </row>
    <row r="28" ht="22.5" customHeight="1">
      <c r="A28" s="117">
        <v>45841.39432748842</v>
      </c>
      <c r="B28" s="118">
        <v>45819.0</v>
      </c>
      <c r="C28" s="119" t="s">
        <v>198</v>
      </c>
      <c r="D28" s="119">
        <v>100.0</v>
      </c>
      <c r="E28" s="119" t="s">
        <v>1073</v>
      </c>
      <c r="F28" s="118">
        <v>47453.0</v>
      </c>
    </row>
    <row r="29" ht="22.5" customHeight="1">
      <c r="A29" s="117">
        <v>45841.39488186342</v>
      </c>
      <c r="B29" s="118">
        <v>45819.0</v>
      </c>
      <c r="C29" s="119" t="s">
        <v>204</v>
      </c>
      <c r="D29" s="119">
        <v>100.0</v>
      </c>
      <c r="E29" s="119" t="s">
        <v>1073</v>
      </c>
      <c r="F29" s="118">
        <v>47362.0</v>
      </c>
    </row>
    <row r="30" ht="22.5" customHeight="1">
      <c r="A30" s="117">
        <v>45841.395553043985</v>
      </c>
      <c r="B30" s="118">
        <v>45819.0</v>
      </c>
      <c r="C30" s="119" t="s">
        <v>211</v>
      </c>
      <c r="D30" s="119">
        <v>25.0</v>
      </c>
      <c r="E30" s="119" t="s">
        <v>1073</v>
      </c>
      <c r="F30" s="118">
        <v>46753.0</v>
      </c>
    </row>
    <row r="31" ht="22.5" customHeight="1">
      <c r="A31" s="117">
        <v>45841.39589193287</v>
      </c>
      <c r="B31" s="118">
        <v>45819.0</v>
      </c>
      <c r="C31" s="119" t="s">
        <v>218</v>
      </c>
      <c r="D31" s="119">
        <v>100.0</v>
      </c>
      <c r="E31" s="119" t="s">
        <v>1073</v>
      </c>
      <c r="F31" s="118">
        <v>47453.0</v>
      </c>
    </row>
    <row r="32" ht="22.5" customHeight="1">
      <c r="A32" s="117">
        <v>45841.39635333333</v>
      </c>
      <c r="B32" s="118">
        <v>45819.0</v>
      </c>
      <c r="C32" s="119" t="s">
        <v>225</v>
      </c>
      <c r="D32" s="119">
        <v>100.0</v>
      </c>
      <c r="E32" s="119" t="s">
        <v>1073</v>
      </c>
      <c r="F32" s="118">
        <v>47239.0</v>
      </c>
    </row>
    <row r="33" ht="22.5" customHeight="1">
      <c r="A33" s="117">
        <v>45841.396689166664</v>
      </c>
      <c r="B33" s="118">
        <v>45819.0</v>
      </c>
      <c r="C33" s="119" t="s">
        <v>232</v>
      </c>
      <c r="D33" s="119">
        <v>500.0</v>
      </c>
      <c r="E33" s="119" t="s">
        <v>1073</v>
      </c>
      <c r="F33" s="118">
        <v>46204.0</v>
      </c>
    </row>
    <row r="34" ht="22.5" customHeight="1">
      <c r="A34" s="117">
        <v>45841.3971790162</v>
      </c>
      <c r="B34" s="118">
        <v>45819.0</v>
      </c>
      <c r="C34" s="119" t="s">
        <v>239</v>
      </c>
      <c r="D34" s="119">
        <v>500.0</v>
      </c>
      <c r="E34" s="119" t="s">
        <v>1073</v>
      </c>
      <c r="F34" s="118">
        <v>46508.0</v>
      </c>
    </row>
    <row r="35" ht="22.5" customHeight="1">
      <c r="A35" s="117">
        <v>45841.397485706024</v>
      </c>
      <c r="B35" s="118">
        <v>45819.0</v>
      </c>
      <c r="C35" s="119" t="s">
        <v>246</v>
      </c>
      <c r="D35" s="119">
        <v>500.0</v>
      </c>
      <c r="E35" s="119" t="s">
        <v>1073</v>
      </c>
      <c r="F35" s="118">
        <v>46722.0</v>
      </c>
    </row>
    <row r="36" ht="22.5" customHeight="1">
      <c r="A36" s="117">
        <v>45841.397924375</v>
      </c>
      <c r="B36" s="118">
        <v>45819.0</v>
      </c>
      <c r="C36" s="119" t="s">
        <v>253</v>
      </c>
      <c r="D36" s="119">
        <v>500.0</v>
      </c>
      <c r="E36" s="119" t="s">
        <v>1073</v>
      </c>
      <c r="F36" s="118">
        <v>46539.0</v>
      </c>
    </row>
    <row r="37" ht="22.5" customHeight="1">
      <c r="A37" s="117">
        <v>45841.39829672454</v>
      </c>
      <c r="B37" s="118">
        <v>45819.0</v>
      </c>
      <c r="C37" s="119" t="s">
        <v>260</v>
      </c>
      <c r="D37" s="119">
        <v>500.0</v>
      </c>
      <c r="E37" s="119" t="s">
        <v>1073</v>
      </c>
      <c r="F37" s="118">
        <v>47453.0</v>
      </c>
    </row>
    <row r="38" ht="22.5" customHeight="1">
      <c r="A38" s="117">
        <v>45841.39867873843</v>
      </c>
      <c r="B38" s="118">
        <v>45819.0</v>
      </c>
      <c r="C38" s="119" t="s">
        <v>267</v>
      </c>
      <c r="D38" s="119">
        <v>500.0</v>
      </c>
      <c r="E38" s="119" t="s">
        <v>1073</v>
      </c>
      <c r="F38" s="118">
        <v>46997.0</v>
      </c>
    </row>
    <row r="39" ht="22.5" customHeight="1">
      <c r="A39" s="117">
        <v>45841.39901879629</v>
      </c>
      <c r="B39" s="118">
        <v>45819.0</v>
      </c>
      <c r="C39" s="119" t="s">
        <v>274</v>
      </c>
      <c r="D39" s="119">
        <v>500.0</v>
      </c>
      <c r="E39" s="119" t="s">
        <v>1073</v>
      </c>
      <c r="F39" s="118">
        <v>46753.0</v>
      </c>
    </row>
    <row r="40" ht="22.5" customHeight="1">
      <c r="A40" s="117">
        <v>45841.39953951389</v>
      </c>
      <c r="B40" s="118">
        <v>45819.0</v>
      </c>
      <c r="C40" s="119" t="s">
        <v>280</v>
      </c>
      <c r="D40" s="119">
        <v>25.0</v>
      </c>
      <c r="E40" s="119" t="s">
        <v>1073</v>
      </c>
      <c r="F40" s="118">
        <v>47238.0</v>
      </c>
    </row>
    <row r="41" ht="22.5" customHeight="1">
      <c r="A41" s="117">
        <v>45841.400216724534</v>
      </c>
      <c r="B41" s="118">
        <v>45819.0</v>
      </c>
      <c r="C41" s="119" t="s">
        <v>287</v>
      </c>
      <c r="D41" s="119">
        <v>250.0</v>
      </c>
      <c r="E41" s="119" t="s">
        <v>1073</v>
      </c>
      <c r="F41" s="118">
        <v>47542.0</v>
      </c>
    </row>
    <row r="42" ht="22.5" customHeight="1">
      <c r="A42" s="117">
        <v>45841.40065563658</v>
      </c>
      <c r="B42" s="118">
        <v>45819.0</v>
      </c>
      <c r="C42" s="119" t="s">
        <v>294</v>
      </c>
      <c r="D42" s="119">
        <v>100.0</v>
      </c>
      <c r="E42" s="119" t="s">
        <v>1073</v>
      </c>
      <c r="F42" s="118">
        <v>47238.0</v>
      </c>
    </row>
    <row r="43" ht="22.5" customHeight="1">
      <c r="A43" s="117">
        <v>45841.4173743287</v>
      </c>
      <c r="B43" s="118">
        <v>45788.0</v>
      </c>
      <c r="C43" s="119" t="s">
        <v>170</v>
      </c>
      <c r="D43" s="119">
        <v>250.0</v>
      </c>
      <c r="E43" s="119" t="s">
        <v>1073</v>
      </c>
      <c r="F43" s="118">
        <v>46053.0</v>
      </c>
    </row>
    <row r="44" ht="22.5" customHeight="1">
      <c r="A44" s="117">
        <v>45841.419130740745</v>
      </c>
      <c r="B44" s="118">
        <v>45819.0</v>
      </c>
      <c r="C44" s="119" t="s">
        <v>683</v>
      </c>
      <c r="D44" s="119">
        <v>100.0</v>
      </c>
      <c r="E44" s="119" t="s">
        <v>687</v>
      </c>
      <c r="F44" s="118">
        <v>47057.0</v>
      </c>
    </row>
    <row r="45" ht="22.5" customHeight="1">
      <c r="A45" s="117">
        <v>45841.41961059028</v>
      </c>
      <c r="B45" s="118">
        <v>45819.0</v>
      </c>
      <c r="C45" s="119" t="s">
        <v>691</v>
      </c>
      <c r="D45" s="119">
        <v>100.0</v>
      </c>
      <c r="E45" s="119" t="s">
        <v>687</v>
      </c>
      <c r="F45" s="118">
        <v>46934.0</v>
      </c>
    </row>
    <row r="46" ht="22.5" customHeight="1">
      <c r="A46" s="117">
        <v>45841.419977048616</v>
      </c>
      <c r="B46" s="118">
        <v>45819.0</v>
      </c>
      <c r="C46" s="119" t="s">
        <v>697</v>
      </c>
      <c r="D46" s="119">
        <v>100.0</v>
      </c>
      <c r="E46" s="119" t="s">
        <v>687</v>
      </c>
      <c r="F46" s="118">
        <v>46507.0</v>
      </c>
    </row>
    <row r="47" ht="22.5" customHeight="1">
      <c r="A47" s="117">
        <v>45841.4203184838</v>
      </c>
      <c r="B47" s="118">
        <v>45819.0</v>
      </c>
      <c r="C47" s="119" t="s">
        <v>703</v>
      </c>
      <c r="D47" s="119">
        <v>100.0</v>
      </c>
      <c r="E47" s="119" t="s">
        <v>687</v>
      </c>
      <c r="F47" s="118">
        <v>46934.0</v>
      </c>
    </row>
    <row r="48" ht="22.5" customHeight="1">
      <c r="A48" s="117">
        <v>45841.42069289352</v>
      </c>
      <c r="B48" s="118">
        <v>45819.0</v>
      </c>
      <c r="C48" s="119" t="s">
        <v>709</v>
      </c>
      <c r="D48" s="119">
        <v>100.0</v>
      </c>
      <c r="E48" s="119" t="s">
        <v>687</v>
      </c>
      <c r="F48" s="118">
        <v>46752.0</v>
      </c>
    </row>
    <row r="49" ht="22.5" customHeight="1">
      <c r="A49" s="117">
        <v>45841.420992430554</v>
      </c>
      <c r="B49" s="118">
        <v>45819.0</v>
      </c>
      <c r="C49" s="119" t="s">
        <v>715</v>
      </c>
      <c r="D49" s="119">
        <v>100.0</v>
      </c>
      <c r="E49" s="119" t="s">
        <v>687</v>
      </c>
      <c r="F49" s="118">
        <v>46691.0</v>
      </c>
    </row>
    <row r="50" ht="22.5" customHeight="1">
      <c r="A50" s="117">
        <v>45841.42128736111</v>
      </c>
      <c r="B50" s="118">
        <v>45819.0</v>
      </c>
      <c r="C50" s="119" t="s">
        <v>721</v>
      </c>
      <c r="D50" s="119">
        <v>100.0</v>
      </c>
      <c r="E50" s="119" t="s">
        <v>687</v>
      </c>
      <c r="F50" s="118">
        <v>46507.0</v>
      </c>
    </row>
    <row r="51" ht="22.5" customHeight="1">
      <c r="A51" s="117">
        <v>45841.42164738426</v>
      </c>
      <c r="B51" s="118">
        <v>45819.0</v>
      </c>
      <c r="C51" s="119" t="s">
        <v>727</v>
      </c>
      <c r="D51" s="119">
        <v>100.0</v>
      </c>
      <c r="E51" s="119" t="s">
        <v>687</v>
      </c>
      <c r="F51" s="118">
        <v>46446.0</v>
      </c>
    </row>
    <row r="52" ht="22.5" customHeight="1">
      <c r="A52" s="117">
        <v>45841.42204181713</v>
      </c>
      <c r="B52" s="118">
        <v>45819.0</v>
      </c>
      <c r="C52" s="119" t="s">
        <v>733</v>
      </c>
      <c r="D52" s="119">
        <v>100.0</v>
      </c>
      <c r="E52" s="119" t="s">
        <v>687</v>
      </c>
      <c r="F52" s="118">
        <v>46904.0</v>
      </c>
    </row>
    <row r="53" ht="22.5" customHeight="1">
      <c r="A53" s="117">
        <v>45841.422456319444</v>
      </c>
      <c r="B53" s="118">
        <v>45819.0</v>
      </c>
      <c r="C53" s="119" t="s">
        <v>739</v>
      </c>
      <c r="D53" s="119">
        <v>100.0</v>
      </c>
      <c r="E53" s="119" t="s">
        <v>687</v>
      </c>
      <c r="F53" s="118">
        <v>46081.0</v>
      </c>
    </row>
    <row r="54" ht="22.5" customHeight="1">
      <c r="A54" s="117">
        <v>45841.42292150463</v>
      </c>
      <c r="B54" s="118">
        <v>45819.0</v>
      </c>
      <c r="C54" s="119" t="s">
        <v>745</v>
      </c>
      <c r="D54" s="119">
        <v>100.0</v>
      </c>
      <c r="E54" s="119" t="s">
        <v>687</v>
      </c>
      <c r="F54" s="118">
        <v>46843.0</v>
      </c>
    </row>
    <row r="55" ht="22.5" customHeight="1">
      <c r="A55" s="117">
        <v>45841.423258090275</v>
      </c>
      <c r="B55" s="118">
        <v>45819.0</v>
      </c>
      <c r="C55" s="119" t="s">
        <v>757</v>
      </c>
      <c r="D55" s="119">
        <v>100.0</v>
      </c>
      <c r="E55" s="119" t="s">
        <v>687</v>
      </c>
      <c r="F55" s="118">
        <v>46477.0</v>
      </c>
    </row>
    <row r="56" ht="22.5" customHeight="1">
      <c r="A56" s="117">
        <v>45841.42368767361</v>
      </c>
      <c r="B56" s="118">
        <v>45819.0</v>
      </c>
      <c r="C56" s="119" t="s">
        <v>751</v>
      </c>
      <c r="D56" s="119">
        <v>100.0</v>
      </c>
      <c r="E56" s="119" t="s">
        <v>687</v>
      </c>
      <c r="F56" s="118">
        <v>46934.0</v>
      </c>
    </row>
    <row r="57" ht="22.5" customHeight="1">
      <c r="A57" s="117">
        <v>45841.42404221065</v>
      </c>
      <c r="B57" s="118">
        <v>45819.0</v>
      </c>
      <c r="C57" s="119" t="s">
        <v>763</v>
      </c>
      <c r="D57" s="119">
        <v>100.0</v>
      </c>
      <c r="E57" s="119" t="s">
        <v>687</v>
      </c>
      <c r="F57" s="118">
        <v>46081.0</v>
      </c>
    </row>
    <row r="58" ht="22.5" customHeight="1">
      <c r="A58" s="117">
        <v>45841.42438113426</v>
      </c>
      <c r="B58" s="118">
        <v>45819.0</v>
      </c>
      <c r="C58" s="119" t="s">
        <v>769</v>
      </c>
      <c r="D58" s="119">
        <v>100.0</v>
      </c>
      <c r="E58" s="119" t="s">
        <v>687</v>
      </c>
      <c r="F58" s="118">
        <v>46477.0</v>
      </c>
    </row>
    <row r="59" ht="22.5" customHeight="1">
      <c r="A59" s="117">
        <v>45841.42472618056</v>
      </c>
      <c r="B59" s="118">
        <v>45819.0</v>
      </c>
      <c r="C59" s="119" t="s">
        <v>775</v>
      </c>
      <c r="D59" s="119">
        <v>100.0</v>
      </c>
      <c r="E59" s="119" t="s">
        <v>687</v>
      </c>
      <c r="F59" s="118">
        <v>46326.0</v>
      </c>
    </row>
    <row r="60" ht="22.5" customHeight="1">
      <c r="A60" s="117">
        <v>45841.42511556713</v>
      </c>
      <c r="B60" s="118">
        <v>45819.0</v>
      </c>
      <c r="C60" s="119" t="s">
        <v>781</v>
      </c>
      <c r="D60" s="119">
        <v>500.0</v>
      </c>
      <c r="E60" s="119" t="s">
        <v>687</v>
      </c>
      <c r="F60" s="118">
        <v>46691.0</v>
      </c>
    </row>
    <row r="61" ht="22.5" customHeight="1">
      <c r="A61" s="117">
        <v>45841.42541744213</v>
      </c>
      <c r="B61" s="118">
        <v>45819.0</v>
      </c>
      <c r="C61" s="119" t="s">
        <v>786</v>
      </c>
      <c r="D61" s="119">
        <v>500.0</v>
      </c>
      <c r="E61" s="119" t="s">
        <v>687</v>
      </c>
      <c r="F61" s="118">
        <v>46783.0</v>
      </c>
    </row>
    <row r="62" ht="22.5" customHeight="1">
      <c r="A62" s="117">
        <v>45841.42578168982</v>
      </c>
      <c r="B62" s="118">
        <v>45819.0</v>
      </c>
      <c r="C62" s="119" t="s">
        <v>792</v>
      </c>
      <c r="D62" s="119">
        <v>500.0</v>
      </c>
      <c r="E62" s="119" t="s">
        <v>687</v>
      </c>
      <c r="F62" s="118">
        <v>46934.0</v>
      </c>
    </row>
    <row r="63" ht="22.5" customHeight="1">
      <c r="A63" s="117">
        <v>45841.42777815972</v>
      </c>
      <c r="B63" s="118">
        <v>45819.0</v>
      </c>
      <c r="C63" s="119" t="s">
        <v>798</v>
      </c>
      <c r="D63" s="119">
        <v>250.0</v>
      </c>
      <c r="E63" s="119" t="s">
        <v>687</v>
      </c>
      <c r="F63" s="118">
        <v>46811.0</v>
      </c>
    </row>
    <row r="64" ht="22.5" customHeight="1">
      <c r="A64" s="117">
        <v>45841.42816638889</v>
      </c>
      <c r="B64" s="118">
        <v>45819.0</v>
      </c>
      <c r="C64" s="119" t="s">
        <v>804</v>
      </c>
      <c r="D64" s="119">
        <v>100.0</v>
      </c>
      <c r="E64" s="119" t="s">
        <v>687</v>
      </c>
      <c r="F64" s="118">
        <v>46326.0</v>
      </c>
    </row>
    <row r="65" ht="22.5" customHeight="1">
      <c r="A65" s="117">
        <v>45841.42850733796</v>
      </c>
      <c r="B65" s="118">
        <v>45819.0</v>
      </c>
      <c r="C65" s="119" t="s">
        <v>811</v>
      </c>
      <c r="D65" s="119">
        <v>500.0</v>
      </c>
      <c r="E65" s="119" t="s">
        <v>687</v>
      </c>
      <c r="F65" s="118">
        <v>46873.0</v>
      </c>
    </row>
    <row r="66" ht="22.5" customHeight="1">
      <c r="A66" s="117">
        <v>45841.430951145834</v>
      </c>
      <c r="B66" s="118">
        <v>45819.0</v>
      </c>
      <c r="C66" s="119" t="s">
        <v>869</v>
      </c>
      <c r="D66" s="119">
        <v>250.0</v>
      </c>
      <c r="E66" s="119" t="s">
        <v>687</v>
      </c>
      <c r="F66" s="118">
        <v>47149.0</v>
      </c>
    </row>
    <row r="67" ht="22.5" customHeight="1">
      <c r="A67" s="117">
        <v>45841.431362766205</v>
      </c>
      <c r="B67" s="118">
        <v>45819.0</v>
      </c>
      <c r="C67" s="119" t="s">
        <v>898</v>
      </c>
      <c r="D67" s="119">
        <v>1000.0</v>
      </c>
      <c r="E67" s="119" t="s">
        <v>687</v>
      </c>
      <c r="F67" s="118">
        <v>46599.0</v>
      </c>
    </row>
    <row r="68" ht="22.5" customHeight="1">
      <c r="A68" s="117">
        <v>45841.43162944444</v>
      </c>
      <c r="B68" s="118">
        <v>45819.0</v>
      </c>
      <c r="C68" s="119" t="s">
        <v>904</v>
      </c>
      <c r="D68" s="119">
        <v>1000.0</v>
      </c>
      <c r="E68" s="119" t="s">
        <v>687</v>
      </c>
      <c r="F68" s="118">
        <v>46721.0</v>
      </c>
    </row>
    <row r="69" ht="22.5" customHeight="1">
      <c r="A69" s="117">
        <v>45841.43192440972</v>
      </c>
      <c r="B69" s="118">
        <v>45819.0</v>
      </c>
      <c r="C69" s="119" t="s">
        <v>909</v>
      </c>
      <c r="D69" s="119">
        <v>1000.0</v>
      </c>
      <c r="E69" s="119" t="s">
        <v>687</v>
      </c>
      <c r="F69" s="118">
        <v>46599.0</v>
      </c>
    </row>
    <row r="70" ht="22.5" customHeight="1">
      <c r="A70" s="117">
        <v>45841.43941842593</v>
      </c>
      <c r="B70" s="118">
        <v>45819.0</v>
      </c>
      <c r="C70" s="119" t="s">
        <v>817</v>
      </c>
      <c r="D70" s="119">
        <v>2500.0</v>
      </c>
      <c r="E70" s="119" t="s">
        <v>687</v>
      </c>
      <c r="F70" s="118">
        <v>46843.0</v>
      </c>
    </row>
    <row r="71" ht="22.5" customHeight="1">
      <c r="A71" s="117">
        <v>45841.439832372685</v>
      </c>
      <c r="B71" s="118">
        <v>45819.0</v>
      </c>
      <c r="C71" s="119" t="s">
        <v>823</v>
      </c>
      <c r="D71" s="119">
        <v>2500.0</v>
      </c>
      <c r="E71" s="119" t="s">
        <v>687</v>
      </c>
      <c r="F71" s="118">
        <v>46843.0</v>
      </c>
    </row>
    <row r="72" ht="22.5" customHeight="1">
      <c r="A72" s="117">
        <v>45841.440326944445</v>
      </c>
      <c r="B72" s="118">
        <v>45819.0</v>
      </c>
      <c r="C72" s="119" t="s">
        <v>831</v>
      </c>
      <c r="D72" s="119">
        <v>2500.0</v>
      </c>
      <c r="E72" s="119" t="s">
        <v>687</v>
      </c>
      <c r="F72" s="118">
        <v>46843.0</v>
      </c>
    </row>
    <row r="73" ht="22.5" customHeight="1">
      <c r="A73" s="117">
        <v>45841.4407268287</v>
      </c>
      <c r="B73" s="118">
        <v>45819.0</v>
      </c>
      <c r="C73" s="119" t="s">
        <v>837</v>
      </c>
      <c r="D73" s="119">
        <v>4000.0</v>
      </c>
      <c r="E73" s="119" t="s">
        <v>687</v>
      </c>
      <c r="F73" s="118">
        <v>47483.0</v>
      </c>
    </row>
    <row r="74" ht="22.5" customHeight="1">
      <c r="A74" s="117">
        <v>45841.441165833334</v>
      </c>
      <c r="B74" s="118">
        <v>45819.0</v>
      </c>
      <c r="C74" s="119" t="s">
        <v>844</v>
      </c>
      <c r="D74" s="119">
        <v>4000.0</v>
      </c>
      <c r="E74" s="119" t="s">
        <v>687</v>
      </c>
      <c r="F74" s="118">
        <v>47573.0</v>
      </c>
    </row>
    <row r="75" ht="22.5" customHeight="1">
      <c r="A75" s="117">
        <v>45841.44153524305</v>
      </c>
      <c r="B75" s="118">
        <v>45819.0</v>
      </c>
      <c r="C75" s="119" t="s">
        <v>850</v>
      </c>
      <c r="D75" s="119">
        <v>4000.0</v>
      </c>
      <c r="E75" s="119" t="s">
        <v>687</v>
      </c>
      <c r="F75" s="118">
        <v>47603.0</v>
      </c>
    </row>
    <row r="76" ht="22.5" customHeight="1">
      <c r="A76" s="117">
        <v>45841.44186359954</v>
      </c>
      <c r="B76" s="118">
        <v>45819.0</v>
      </c>
      <c r="C76" s="119" t="s">
        <v>856</v>
      </c>
      <c r="D76" s="119">
        <v>4000.0</v>
      </c>
      <c r="E76" s="119" t="s">
        <v>687</v>
      </c>
      <c r="F76" s="118">
        <v>47603.0</v>
      </c>
    </row>
    <row r="77" ht="22.5" customHeight="1">
      <c r="A77" s="117">
        <v>45841.44227383102</v>
      </c>
      <c r="B77" s="118">
        <v>45819.0</v>
      </c>
      <c r="C77" s="119" t="s">
        <v>862</v>
      </c>
      <c r="D77" s="119">
        <v>2500.0</v>
      </c>
      <c r="E77" s="119" t="s">
        <v>687</v>
      </c>
      <c r="F77" s="118">
        <v>46783.0</v>
      </c>
    </row>
    <row r="78" ht="22.5" customHeight="1">
      <c r="A78" s="117">
        <v>45841.44276457176</v>
      </c>
      <c r="B78" s="118">
        <v>45819.0</v>
      </c>
      <c r="C78" s="119" t="s">
        <v>875</v>
      </c>
      <c r="D78" s="119">
        <v>100.0</v>
      </c>
      <c r="E78" s="119" t="s">
        <v>687</v>
      </c>
      <c r="F78" s="118">
        <v>46446.0</v>
      </c>
    </row>
    <row r="79" ht="22.5" customHeight="1">
      <c r="A79" s="117">
        <v>45841.448668854166</v>
      </c>
      <c r="B79" s="118">
        <v>45819.0</v>
      </c>
      <c r="C79" s="119" t="s">
        <v>892</v>
      </c>
      <c r="D79" s="119">
        <v>2500.0</v>
      </c>
      <c r="E79" s="119" t="s">
        <v>687</v>
      </c>
      <c r="F79" s="118">
        <v>46783.0</v>
      </c>
    </row>
    <row r="80" ht="22.5" customHeight="1">
      <c r="A80" s="117">
        <v>45841.49441471064</v>
      </c>
      <c r="B80" s="118">
        <v>45788.0</v>
      </c>
      <c r="C80" s="119" t="s">
        <v>1048</v>
      </c>
      <c r="D80" s="119">
        <v>1.0</v>
      </c>
      <c r="E80" s="119" t="s">
        <v>1051</v>
      </c>
      <c r="F80" s="118">
        <v>46202.0</v>
      </c>
    </row>
    <row r="81" ht="22.5" customHeight="1">
      <c r="A81" s="117">
        <v>45841.49580512731</v>
      </c>
      <c r="B81" s="118">
        <v>45819.0</v>
      </c>
      <c r="C81" s="119" t="s">
        <v>1052</v>
      </c>
      <c r="D81" s="119">
        <v>2.0</v>
      </c>
      <c r="E81" s="119" t="s">
        <v>1051</v>
      </c>
      <c r="F81" s="118">
        <v>46206.0</v>
      </c>
    </row>
    <row r="82" ht="22.5" customHeight="1">
      <c r="A82" s="117">
        <v>45841.496670740744</v>
      </c>
      <c r="B82" s="118">
        <v>45788.0</v>
      </c>
      <c r="C82" s="119" t="s">
        <v>882</v>
      </c>
      <c r="D82" s="119">
        <v>500.0</v>
      </c>
      <c r="E82" s="119" t="s">
        <v>687</v>
      </c>
      <c r="F82" s="118">
        <v>46206.0</v>
      </c>
    </row>
    <row r="83" ht="22.5" customHeight="1">
      <c r="A83" s="117">
        <v>45841.49698578704</v>
      </c>
      <c r="B83" s="118">
        <v>45788.0</v>
      </c>
      <c r="C83" s="119" t="s">
        <v>888</v>
      </c>
      <c r="D83" s="119">
        <v>500.0</v>
      </c>
      <c r="E83" s="119" t="s">
        <v>687</v>
      </c>
      <c r="F83" s="118">
        <v>46206.0</v>
      </c>
    </row>
    <row r="84" ht="22.5" customHeight="1">
      <c r="A84" s="117">
        <v>45845.46109590278</v>
      </c>
      <c r="B84" s="118">
        <v>45844.0</v>
      </c>
      <c r="C84" s="119" t="s">
        <v>300</v>
      </c>
      <c r="D84" s="119">
        <v>10.0</v>
      </c>
      <c r="E84" s="119" t="s">
        <v>1073</v>
      </c>
      <c r="F84" s="118">
        <v>46630.0</v>
      </c>
    </row>
    <row r="85" ht="22.5" customHeight="1">
      <c r="A85" s="117">
        <v>45845.46236376157</v>
      </c>
      <c r="B85" s="118">
        <v>45843.0</v>
      </c>
      <c r="C85" s="119" t="s">
        <v>305</v>
      </c>
      <c r="D85" s="119">
        <v>250.0</v>
      </c>
      <c r="E85" s="119" t="s">
        <v>1073</v>
      </c>
      <c r="F85" s="118">
        <v>46660.0</v>
      </c>
    </row>
    <row r="86" ht="22.5" customHeight="1">
      <c r="A86" s="117">
        <v>45845.46338230324</v>
      </c>
      <c r="B86" s="118">
        <v>45842.0</v>
      </c>
      <c r="C86" s="119" t="s">
        <v>311</v>
      </c>
      <c r="D86" s="119">
        <v>500.0</v>
      </c>
      <c r="E86" s="119" t="s">
        <v>1073</v>
      </c>
      <c r="F86" s="118">
        <v>47027.0</v>
      </c>
    </row>
    <row r="87" ht="22.5" customHeight="1">
      <c r="A87" s="117">
        <v>45845.481165289355</v>
      </c>
      <c r="B87" s="118">
        <v>45842.0</v>
      </c>
      <c r="C87" s="119" t="s">
        <v>318</v>
      </c>
      <c r="D87" s="119">
        <v>500.0</v>
      </c>
      <c r="E87" s="119" t="s">
        <v>1073</v>
      </c>
      <c r="F87" s="118">
        <v>46935.0</v>
      </c>
    </row>
    <row r="88" ht="22.5" customHeight="1">
      <c r="A88" s="117">
        <v>45845.4881847338</v>
      </c>
      <c r="B88" s="118">
        <v>45842.0</v>
      </c>
      <c r="C88" s="119" t="s">
        <v>324</v>
      </c>
      <c r="D88" s="119">
        <v>500.0</v>
      </c>
      <c r="E88" s="119" t="s">
        <v>1073</v>
      </c>
      <c r="F88" s="118">
        <v>46569.0</v>
      </c>
    </row>
    <row r="89" ht="22.5" customHeight="1">
      <c r="A89" s="117">
        <v>45845.49033935185</v>
      </c>
      <c r="B89" s="118">
        <v>45812.0</v>
      </c>
      <c r="C89" s="119" t="s">
        <v>331</v>
      </c>
      <c r="D89" s="119">
        <v>500.0</v>
      </c>
      <c r="E89" s="119" t="s">
        <v>1073</v>
      </c>
      <c r="F89" s="118">
        <v>47209.0</v>
      </c>
    </row>
    <row r="90" ht="22.5" customHeight="1">
      <c r="A90" s="117">
        <v>45845.54473332176</v>
      </c>
      <c r="B90" s="118">
        <v>45842.0</v>
      </c>
      <c r="C90" s="119" t="s">
        <v>337</v>
      </c>
      <c r="D90" s="119">
        <v>500.0</v>
      </c>
      <c r="E90" s="119" t="s">
        <v>1073</v>
      </c>
      <c r="F90" s="118">
        <v>46784.0</v>
      </c>
    </row>
    <row r="91" ht="22.5" customHeight="1">
      <c r="A91" s="117">
        <v>45845.54744833334</v>
      </c>
      <c r="B91" s="118">
        <v>45842.0</v>
      </c>
      <c r="C91" s="119" t="s">
        <v>344</v>
      </c>
      <c r="D91" s="119">
        <v>500.0</v>
      </c>
      <c r="E91" s="119" t="s">
        <v>1073</v>
      </c>
      <c r="F91" s="118">
        <v>46539.0</v>
      </c>
    </row>
    <row r="92" ht="22.5" customHeight="1">
      <c r="A92" s="117">
        <v>45845.54970109954</v>
      </c>
      <c r="B92" s="118">
        <v>45842.0</v>
      </c>
      <c r="C92" s="119" t="s">
        <v>350</v>
      </c>
      <c r="D92" s="119">
        <v>500.0</v>
      </c>
      <c r="E92" s="119" t="s">
        <v>1073</v>
      </c>
      <c r="F92" s="118">
        <v>46722.0</v>
      </c>
    </row>
    <row r="93" ht="22.5" customHeight="1">
      <c r="A93" s="117">
        <v>45845.55145118055</v>
      </c>
      <c r="B93" s="118">
        <v>45842.0</v>
      </c>
      <c r="C93" s="119" t="s">
        <v>356</v>
      </c>
      <c r="D93" s="119">
        <v>500.0</v>
      </c>
      <c r="E93" s="119" t="s">
        <v>1073</v>
      </c>
      <c r="F93" s="118">
        <v>46692.0</v>
      </c>
    </row>
    <row r="94" ht="22.5" customHeight="1">
      <c r="A94" s="117">
        <v>45845.553222118055</v>
      </c>
      <c r="B94" s="118">
        <v>46542.0</v>
      </c>
      <c r="C94" s="119" t="s">
        <v>362</v>
      </c>
      <c r="D94" s="119">
        <v>500.0</v>
      </c>
      <c r="E94" s="119" t="s">
        <v>1073</v>
      </c>
      <c r="F94" s="118">
        <v>46143.0</v>
      </c>
    </row>
    <row r="95" ht="22.5" customHeight="1">
      <c r="A95" s="117">
        <v>45845.55504280093</v>
      </c>
      <c r="B95" s="118">
        <v>45842.0</v>
      </c>
      <c r="C95" s="119" t="s">
        <v>914</v>
      </c>
      <c r="D95" s="119">
        <v>2500.0</v>
      </c>
      <c r="E95" s="119" t="s">
        <v>687</v>
      </c>
      <c r="F95" s="118">
        <v>46692.0</v>
      </c>
    </row>
    <row r="96" ht="22.5" customHeight="1">
      <c r="A96" s="117">
        <v>45854.437990509265</v>
      </c>
      <c r="B96" s="118">
        <v>45853.0</v>
      </c>
      <c r="C96" s="119" t="s">
        <v>375</v>
      </c>
      <c r="D96" s="119">
        <v>1000.0</v>
      </c>
      <c r="E96" s="119" t="s">
        <v>1073</v>
      </c>
      <c r="F96" s="118">
        <v>46418.0</v>
      </c>
    </row>
    <row r="97" ht="22.5" customHeight="1">
      <c r="A97" s="117">
        <v>45854.43872939815</v>
      </c>
      <c r="B97" s="118">
        <v>45853.0</v>
      </c>
      <c r="C97" s="119" t="s">
        <v>382</v>
      </c>
      <c r="D97" s="119">
        <v>1000.0</v>
      </c>
      <c r="E97" s="119" t="s">
        <v>1073</v>
      </c>
      <c r="F97" s="118">
        <v>47542.0</v>
      </c>
    </row>
    <row r="98" ht="22.5" customHeight="1">
      <c r="A98" s="117">
        <v>45854.44011488426</v>
      </c>
      <c r="B98" s="118">
        <v>45854.0</v>
      </c>
      <c r="C98" s="119" t="s">
        <v>389</v>
      </c>
      <c r="D98" s="119">
        <v>1000.0</v>
      </c>
      <c r="E98" s="119" t="s">
        <v>1073</v>
      </c>
      <c r="F98" s="118">
        <v>46996.0</v>
      </c>
    </row>
    <row r="99" ht="22.5" customHeight="1">
      <c r="A99" s="117">
        <v>45854.440872673615</v>
      </c>
      <c r="B99" s="118">
        <v>45854.0</v>
      </c>
      <c r="C99" s="119" t="s">
        <v>395</v>
      </c>
      <c r="D99" s="119">
        <v>500.0</v>
      </c>
      <c r="E99" s="119" t="s">
        <v>1073</v>
      </c>
      <c r="F99" s="118">
        <v>46630.0</v>
      </c>
    </row>
    <row r="100" ht="22.5" customHeight="1">
      <c r="A100" s="117">
        <v>45854.441333043986</v>
      </c>
      <c r="B100" s="118">
        <v>45853.0</v>
      </c>
      <c r="C100" s="119" t="s">
        <v>401</v>
      </c>
      <c r="D100" s="119">
        <v>1000.0</v>
      </c>
      <c r="E100" s="119" t="s">
        <v>1073</v>
      </c>
      <c r="F100" s="118">
        <v>46630.0</v>
      </c>
    </row>
    <row r="101" ht="22.5" customHeight="1">
      <c r="A101" s="117">
        <v>45854.44181444445</v>
      </c>
      <c r="B101" s="118">
        <v>45853.0</v>
      </c>
      <c r="C101" s="119" t="s">
        <v>407</v>
      </c>
      <c r="D101" s="119">
        <v>1000.0</v>
      </c>
      <c r="E101" s="119" t="s">
        <v>1073</v>
      </c>
      <c r="F101" s="118">
        <v>47391.0</v>
      </c>
    </row>
    <row r="102" ht="22.5" customHeight="1">
      <c r="A102" s="117">
        <v>45854.44234637731</v>
      </c>
      <c r="B102" s="118">
        <v>45853.0</v>
      </c>
      <c r="C102" s="119" t="s">
        <v>951</v>
      </c>
      <c r="D102" s="119">
        <v>500.0</v>
      </c>
      <c r="E102" s="119" t="s">
        <v>687</v>
      </c>
      <c r="F102" s="118">
        <v>46478.0</v>
      </c>
    </row>
    <row r="103" ht="22.5" customHeight="1">
      <c r="A103" s="117">
        <v>45856.69329255787</v>
      </c>
      <c r="B103" s="118">
        <v>46951.0</v>
      </c>
      <c r="C103" s="119" t="s">
        <v>413</v>
      </c>
      <c r="D103" s="119">
        <v>250.0</v>
      </c>
      <c r="E103" s="119" t="s">
        <v>1073</v>
      </c>
      <c r="F103" s="118">
        <v>47270.0</v>
      </c>
    </row>
    <row r="104" ht="22.5" customHeight="1">
      <c r="A104" s="117">
        <v>45856.69384289352</v>
      </c>
      <c r="B104" s="118">
        <v>45886.0</v>
      </c>
      <c r="C104" s="119" t="s">
        <v>420</v>
      </c>
      <c r="D104" s="119">
        <v>500.0</v>
      </c>
      <c r="E104" s="119" t="s">
        <v>1073</v>
      </c>
      <c r="F104" s="118">
        <v>47239.0</v>
      </c>
    </row>
    <row r="105" ht="22.5" customHeight="1">
      <c r="A105" s="117">
        <v>45856.69430555556</v>
      </c>
      <c r="B105" s="118">
        <v>45855.0</v>
      </c>
      <c r="C105" s="119" t="s">
        <v>427</v>
      </c>
      <c r="D105" s="119">
        <v>500.0</v>
      </c>
      <c r="E105" s="119" t="s">
        <v>1073</v>
      </c>
      <c r="F105" s="118">
        <v>46357.0</v>
      </c>
    </row>
    <row r="106" ht="22.5" customHeight="1">
      <c r="A106" s="117">
        <v>45856.70075050926</v>
      </c>
      <c r="B106" s="118">
        <v>45856.0</v>
      </c>
      <c r="C106" s="119" t="s">
        <v>122</v>
      </c>
      <c r="D106" s="119">
        <v>100.0</v>
      </c>
      <c r="E106" s="119" t="s">
        <v>1073</v>
      </c>
      <c r="F106" s="118">
        <v>46721.0</v>
      </c>
    </row>
    <row r="107" ht="22.5" customHeight="1">
      <c r="A107" s="117">
        <v>45856.7013525</v>
      </c>
      <c r="B107" s="118">
        <v>45856.0</v>
      </c>
      <c r="C107" s="119" t="s">
        <v>438</v>
      </c>
      <c r="D107" s="119">
        <v>100.0</v>
      </c>
      <c r="E107" s="119" t="s">
        <v>1073</v>
      </c>
      <c r="F107" s="118">
        <v>46660.0</v>
      </c>
    </row>
    <row r="108" ht="22.5" customHeight="1">
      <c r="A108" s="117">
        <v>45856.701815</v>
      </c>
      <c r="B108" s="118">
        <v>45856.0</v>
      </c>
      <c r="C108" s="119" t="s">
        <v>445</v>
      </c>
      <c r="E108" s="119" t="s">
        <v>1073</v>
      </c>
      <c r="F108" s="118">
        <v>46873.0</v>
      </c>
    </row>
    <row r="109" ht="22.5" customHeight="1">
      <c r="A109" s="117">
        <v>45861.57152993056</v>
      </c>
      <c r="B109" s="118">
        <v>45861.0</v>
      </c>
      <c r="C109" s="119" t="s">
        <v>427</v>
      </c>
      <c r="D109" s="119">
        <v>100.0</v>
      </c>
      <c r="E109" s="119" t="s">
        <v>1073</v>
      </c>
      <c r="F109" s="118">
        <v>46625.0</v>
      </c>
    </row>
    <row r="110" ht="22.5" customHeight="1">
      <c r="A110" s="117">
        <v>45861.57215475694</v>
      </c>
      <c r="B110" s="118">
        <v>45861.0</v>
      </c>
      <c r="C110" s="119" t="s">
        <v>445</v>
      </c>
      <c r="D110" s="119">
        <v>500.0</v>
      </c>
      <c r="E110" s="119" t="s">
        <v>1073</v>
      </c>
      <c r="F110" s="118">
        <v>46599.0</v>
      </c>
    </row>
    <row r="111" ht="22.5" customHeight="1">
      <c r="A111" s="117">
        <v>45861.57273024306</v>
      </c>
      <c r="B111" s="118">
        <v>45861.0</v>
      </c>
      <c r="C111" s="119" t="s">
        <v>452</v>
      </c>
      <c r="D111" s="119">
        <v>100.0</v>
      </c>
      <c r="E111" s="119" t="s">
        <v>1073</v>
      </c>
      <c r="F111" s="118">
        <v>46752.0</v>
      </c>
    </row>
    <row r="112" ht="22.5" customHeight="1">
      <c r="A112" s="117">
        <v>45861.57338503472</v>
      </c>
      <c r="B112" s="118">
        <v>45861.0</v>
      </c>
      <c r="C112" s="119" t="s">
        <v>458</v>
      </c>
      <c r="D112" s="119">
        <v>50.0</v>
      </c>
      <c r="E112" s="119" t="s">
        <v>1073</v>
      </c>
      <c r="F112" s="118">
        <v>46625.0</v>
      </c>
    </row>
    <row r="113" ht="22.5" customHeight="1">
      <c r="A113" s="117">
        <v>45863.409973622685</v>
      </c>
      <c r="B113" s="118">
        <v>45818.0</v>
      </c>
      <c r="C113" s="119" t="s">
        <v>369</v>
      </c>
      <c r="D113" s="119">
        <v>250.0</v>
      </c>
      <c r="E113" s="119" t="s">
        <v>1073</v>
      </c>
      <c r="F113" s="118">
        <v>47362.0</v>
      </c>
    </row>
    <row r="114" ht="22.5" customHeight="1">
      <c r="A114" s="117">
        <v>45863.4108724074</v>
      </c>
      <c r="B114" s="118">
        <v>45819.0</v>
      </c>
      <c r="C114" s="119" t="s">
        <v>920</v>
      </c>
      <c r="D114" s="119">
        <v>500.0</v>
      </c>
      <c r="E114" s="119" t="s">
        <v>687</v>
      </c>
      <c r="F114" s="118">
        <v>46507.0</v>
      </c>
    </row>
    <row r="115" ht="22.5" customHeight="1">
      <c r="A115" s="117">
        <v>45863.44229518519</v>
      </c>
      <c r="B115" s="118">
        <v>45862.0</v>
      </c>
      <c r="C115" s="119" t="s">
        <v>464</v>
      </c>
      <c r="D115" s="119">
        <v>500.0</v>
      </c>
      <c r="E115" s="119" t="s">
        <v>1073</v>
      </c>
      <c r="F115" s="118">
        <v>46538.0</v>
      </c>
    </row>
    <row r="116" ht="22.5" customHeight="1">
      <c r="A116" s="117">
        <v>45868.37386760417</v>
      </c>
      <c r="B116" s="118">
        <v>45866.0</v>
      </c>
      <c r="C116" s="119" t="s">
        <v>482</v>
      </c>
      <c r="D116" s="119">
        <v>100.0</v>
      </c>
      <c r="E116" s="119" t="s">
        <v>1073</v>
      </c>
      <c r="F116" s="118">
        <v>45505.0</v>
      </c>
    </row>
    <row r="117" ht="22.5" customHeight="1">
      <c r="A117" s="117">
        <v>45868.374283020836</v>
      </c>
      <c r="B117" s="118">
        <v>45866.0</v>
      </c>
      <c r="C117" s="119" t="s">
        <v>94</v>
      </c>
      <c r="D117" s="119">
        <v>100.0</v>
      </c>
      <c r="E117" s="119" t="s">
        <v>1073</v>
      </c>
      <c r="F117" s="118">
        <v>46784.0</v>
      </c>
    </row>
    <row r="118" ht="22.5" customHeight="1">
      <c r="A118" s="117">
        <v>45868.37470414352</v>
      </c>
      <c r="B118" s="118">
        <v>45866.0</v>
      </c>
      <c r="C118" s="119" t="s">
        <v>101</v>
      </c>
      <c r="D118" s="119">
        <v>100.0</v>
      </c>
      <c r="E118" s="119" t="s">
        <v>1073</v>
      </c>
      <c r="F118" s="118">
        <v>47422.0</v>
      </c>
    </row>
    <row r="119" ht="22.5" customHeight="1">
      <c r="A119" s="117">
        <v>45868.37629472223</v>
      </c>
      <c r="B119" s="118">
        <v>45866.0</v>
      </c>
      <c r="C119" s="119" t="s">
        <v>80</v>
      </c>
      <c r="D119" s="119">
        <v>250.0</v>
      </c>
      <c r="E119" s="119" t="s">
        <v>1073</v>
      </c>
      <c r="F119" s="118">
        <v>47177.0</v>
      </c>
    </row>
    <row r="120" ht="22.5" customHeight="1">
      <c r="A120" s="117">
        <v>45868.376638229165</v>
      </c>
      <c r="B120" s="118">
        <v>45866.0</v>
      </c>
      <c r="C120" s="119" t="s">
        <v>73</v>
      </c>
      <c r="D120" s="119">
        <v>500.0</v>
      </c>
      <c r="E120" s="119" t="s">
        <v>1073</v>
      </c>
      <c r="F120" s="118">
        <v>47453.0</v>
      </c>
    </row>
    <row r="121" ht="22.5" customHeight="1">
      <c r="A121" s="117">
        <v>45869.44371016204</v>
      </c>
      <c r="B121" s="118">
        <v>45869.0</v>
      </c>
      <c r="C121" s="119" t="s">
        <v>933</v>
      </c>
      <c r="D121" s="119">
        <v>500.0</v>
      </c>
      <c r="E121" s="119" t="s">
        <v>687</v>
      </c>
      <c r="F121" s="118">
        <v>46420.0</v>
      </c>
    </row>
    <row r="122" ht="22.5" customHeight="1">
      <c r="A122" s="117">
        <v>45869.45003532407</v>
      </c>
      <c r="B122" s="118">
        <v>45869.0</v>
      </c>
      <c r="C122" s="119" t="s">
        <v>488</v>
      </c>
      <c r="D122" s="119">
        <v>100.0</v>
      </c>
      <c r="E122" s="119" t="s">
        <v>1073</v>
      </c>
      <c r="F122" s="118">
        <v>46203.0</v>
      </c>
    </row>
    <row r="123" ht="22.5" customHeight="1">
      <c r="A123" s="117">
        <v>45869.450485671296</v>
      </c>
      <c r="B123" s="118">
        <v>45869.0</v>
      </c>
      <c r="C123" s="119" t="s">
        <v>494</v>
      </c>
      <c r="D123" s="119">
        <v>500.0</v>
      </c>
      <c r="E123" s="119" t="s">
        <v>1073</v>
      </c>
      <c r="F123" s="118">
        <v>47484.0</v>
      </c>
    </row>
    <row r="124" ht="22.5" customHeight="1">
      <c r="A124" s="117">
        <v>45869.45095832176</v>
      </c>
      <c r="B124" s="118">
        <v>45869.0</v>
      </c>
      <c r="C124" s="119" t="s">
        <v>501</v>
      </c>
      <c r="D124" s="119">
        <v>10.0</v>
      </c>
      <c r="E124" s="119" t="s">
        <v>1073</v>
      </c>
      <c r="F124" s="118">
        <v>47239.0</v>
      </c>
    </row>
    <row r="125" ht="22.5" customHeight="1">
      <c r="A125" s="117">
        <v>45869.561818229166</v>
      </c>
      <c r="B125" s="118">
        <v>45869.0</v>
      </c>
      <c r="C125" s="119" t="s">
        <v>470</v>
      </c>
      <c r="D125" s="119">
        <v>500.0</v>
      </c>
      <c r="E125" s="119" t="s">
        <v>1073</v>
      </c>
      <c r="F125" s="118">
        <v>47452.0</v>
      </c>
    </row>
    <row r="126" ht="22.5" customHeight="1">
      <c r="A126" s="117">
        <v>45869.56369572917</v>
      </c>
      <c r="B126" s="118">
        <v>45869.0</v>
      </c>
      <c r="C126" s="119" t="s">
        <v>476</v>
      </c>
      <c r="D126" s="119">
        <v>500.0</v>
      </c>
      <c r="E126" s="119" t="s">
        <v>1073</v>
      </c>
      <c r="F126" s="118">
        <v>47514.0</v>
      </c>
    </row>
    <row r="127" ht="22.5" customHeight="1">
      <c r="A127" s="117">
        <v>45869.63925290509</v>
      </c>
      <c r="B127" s="118">
        <v>45869.0</v>
      </c>
      <c r="C127" s="119" t="s">
        <v>938</v>
      </c>
      <c r="D127" s="119">
        <v>100.0</v>
      </c>
      <c r="E127" s="119" t="s">
        <v>687</v>
      </c>
      <c r="F127" s="118">
        <v>46783.0</v>
      </c>
    </row>
    <row r="128" ht="22.5" customHeight="1">
      <c r="A128" s="117">
        <v>45869.642179884264</v>
      </c>
      <c r="B128" s="118">
        <v>45869.0</v>
      </c>
      <c r="C128" s="119" t="s">
        <v>927</v>
      </c>
      <c r="D128" s="119">
        <v>1000.0</v>
      </c>
      <c r="E128" s="119" t="s">
        <v>687</v>
      </c>
      <c r="F128" s="118">
        <v>46446.0</v>
      </c>
    </row>
    <row r="129" ht="22.5" customHeight="1">
      <c r="A129" s="117">
        <v>45874.67579731482</v>
      </c>
      <c r="B129" s="118">
        <v>45874.0</v>
      </c>
      <c r="C129" s="119" t="s">
        <v>433</v>
      </c>
      <c r="D129" s="119">
        <v>25.0</v>
      </c>
      <c r="E129" s="119" t="s">
        <v>1073</v>
      </c>
      <c r="F129" s="118">
        <v>47239.0</v>
      </c>
    </row>
    <row r="130" ht="22.5" customHeight="1">
      <c r="A130" s="117">
        <v>45874.67715967592</v>
      </c>
      <c r="B130" s="118">
        <v>45874.0</v>
      </c>
      <c r="C130" s="119" t="s">
        <v>10</v>
      </c>
      <c r="D130" s="119">
        <v>100.0</v>
      </c>
      <c r="E130" s="119" t="s">
        <v>1073</v>
      </c>
      <c r="F130" s="118">
        <v>46256.0</v>
      </c>
    </row>
    <row r="131" ht="22.5" customHeight="1">
      <c r="A131" s="117">
        <v>45874.67780746528</v>
      </c>
      <c r="B131" s="118">
        <v>45874.0</v>
      </c>
      <c r="C131" s="119" t="s">
        <v>87</v>
      </c>
      <c r="D131" s="119">
        <v>100.0</v>
      </c>
      <c r="E131" s="119" t="s">
        <v>1073</v>
      </c>
      <c r="F131" s="118">
        <v>47299.0</v>
      </c>
    </row>
    <row r="132" ht="22.5" customHeight="1">
      <c r="A132" s="117">
        <v>45875.57140706018</v>
      </c>
      <c r="B132" s="118">
        <v>45875.0</v>
      </c>
      <c r="C132" s="119" t="s">
        <v>52</v>
      </c>
      <c r="D132" s="119">
        <v>1000.0</v>
      </c>
      <c r="E132" s="119" t="s">
        <v>1073</v>
      </c>
      <c r="F132" s="118">
        <v>46996.0</v>
      </c>
    </row>
    <row r="133" ht="22.5" customHeight="1">
      <c r="A133" s="117">
        <v>45875.57182199074</v>
      </c>
      <c r="B133" s="118">
        <v>45875.0</v>
      </c>
      <c r="C133" s="119" t="s">
        <v>507</v>
      </c>
      <c r="D133" s="119">
        <v>1000.0</v>
      </c>
      <c r="E133" s="119" t="s">
        <v>1073</v>
      </c>
      <c r="F133" s="118">
        <v>47542.0</v>
      </c>
    </row>
    <row r="134" ht="22.5" customHeight="1">
      <c r="A134" s="117">
        <v>45875.57212913195</v>
      </c>
      <c r="B134" s="118">
        <v>45875.0</v>
      </c>
      <c r="C134" s="119" t="s">
        <v>875</v>
      </c>
      <c r="D134" s="119">
        <v>2500.0</v>
      </c>
      <c r="E134" s="119" t="s">
        <v>687</v>
      </c>
      <c r="F134" s="118">
        <v>46630.0</v>
      </c>
    </row>
    <row r="135" ht="22.5" customHeight="1">
      <c r="A135" s="117">
        <v>45876.55533392361</v>
      </c>
      <c r="B135" s="118">
        <v>45876.0</v>
      </c>
      <c r="C135" s="119" t="s">
        <v>513</v>
      </c>
      <c r="D135" s="119">
        <v>25.0</v>
      </c>
      <c r="E135" s="119" t="s">
        <v>1073</v>
      </c>
      <c r="F135" s="118">
        <v>46327.0</v>
      </c>
    </row>
    <row r="136" ht="22.5" customHeight="1">
      <c r="A136" s="117">
        <v>45884.3570203125</v>
      </c>
      <c r="B136" s="118">
        <v>45884.0</v>
      </c>
      <c r="C136" s="119" t="s">
        <v>519</v>
      </c>
      <c r="D136" s="119">
        <v>500.0</v>
      </c>
      <c r="E136" s="119" t="s">
        <v>1073</v>
      </c>
      <c r="F136" s="118">
        <v>47515.0</v>
      </c>
    </row>
    <row r="137" ht="22.5" customHeight="1">
      <c r="A137" s="117">
        <v>45884.358262291666</v>
      </c>
      <c r="B137" s="118">
        <v>45884.0</v>
      </c>
      <c r="C137" s="119" t="s">
        <v>951</v>
      </c>
      <c r="D137" s="119">
        <v>500.0</v>
      </c>
      <c r="E137" s="119" t="s">
        <v>687</v>
      </c>
      <c r="F137" s="118">
        <v>46722.0</v>
      </c>
    </row>
    <row r="138" ht="22.5" customHeight="1">
      <c r="A138" s="117">
        <v>45884.41942767361</v>
      </c>
      <c r="B138" s="118">
        <v>45884.0</v>
      </c>
      <c r="C138" s="119" t="s">
        <v>944</v>
      </c>
      <c r="D138" s="119">
        <v>15.0</v>
      </c>
      <c r="E138" s="119" t="s">
        <v>562</v>
      </c>
      <c r="F138" s="118">
        <v>46305.0</v>
      </c>
    </row>
    <row r="139" ht="22.5" customHeight="1">
      <c r="A139" s="117">
        <v>45884.4459728588</v>
      </c>
      <c r="B139" s="118">
        <v>45884.0</v>
      </c>
      <c r="C139" s="119" t="s">
        <v>525</v>
      </c>
      <c r="D139" s="119">
        <v>2.0</v>
      </c>
      <c r="E139" s="119" t="s">
        <v>562</v>
      </c>
      <c r="F139" s="118">
        <v>46507.0</v>
      </c>
    </row>
    <row r="140" ht="22.5" customHeight="1">
      <c r="A140" s="117">
        <v>45884.4526978125</v>
      </c>
      <c r="B140" s="118">
        <v>45884.0</v>
      </c>
      <c r="C140" s="119" t="s">
        <v>532</v>
      </c>
      <c r="D140" s="119">
        <v>240.0</v>
      </c>
      <c r="E140" s="119" t="s">
        <v>562</v>
      </c>
      <c r="F140" s="118">
        <v>46447.0</v>
      </c>
    </row>
    <row r="141" ht="22.5" customHeight="1">
      <c r="A141" s="117">
        <v>45884.47243148148</v>
      </c>
      <c r="B141" s="118">
        <v>45884.0</v>
      </c>
      <c r="C141" s="119" t="s">
        <v>957</v>
      </c>
      <c r="D141" s="119">
        <v>100.0</v>
      </c>
      <c r="E141" s="119" t="s">
        <v>687</v>
      </c>
      <c r="F141" s="118">
        <v>46753.0</v>
      </c>
    </row>
    <row r="142" ht="22.5" customHeight="1">
      <c r="A142" s="117">
        <v>45888.61112030093</v>
      </c>
      <c r="B142" s="118">
        <v>45887.0</v>
      </c>
      <c r="C142" s="119" t="s">
        <v>882</v>
      </c>
      <c r="D142" s="119">
        <v>500.0</v>
      </c>
      <c r="E142" s="119" t="s">
        <v>687</v>
      </c>
      <c r="F142" s="118">
        <v>46113.0</v>
      </c>
    </row>
    <row r="143" ht="22.5" customHeight="1">
      <c r="A143" s="117">
        <v>45888.61230262731</v>
      </c>
      <c r="B143" s="118">
        <v>45887.0</v>
      </c>
      <c r="C143" s="119" t="s">
        <v>184</v>
      </c>
      <c r="D143" s="119">
        <v>500.0</v>
      </c>
      <c r="E143" s="119" t="s">
        <v>1073</v>
      </c>
      <c r="F143" s="118">
        <v>46814.0</v>
      </c>
    </row>
    <row r="144" ht="22.5" customHeight="1">
      <c r="A144" s="117">
        <v>45894.44779530093</v>
      </c>
      <c r="B144" s="118">
        <v>45894.0</v>
      </c>
      <c r="C144" s="119" t="s">
        <v>382</v>
      </c>
      <c r="D144" s="119">
        <v>500.0</v>
      </c>
      <c r="E144" s="119" t="s">
        <v>1073</v>
      </c>
      <c r="F144" s="118">
        <v>46816.0</v>
      </c>
    </row>
    <row r="145" ht="22.5" customHeight="1">
      <c r="A145" s="117">
        <v>45894.47314938657</v>
      </c>
      <c r="B145" s="118">
        <v>45713.0</v>
      </c>
      <c r="C145" s="119" t="s">
        <v>558</v>
      </c>
      <c r="D145" s="119">
        <v>100.0</v>
      </c>
      <c r="E145" s="119" t="s">
        <v>562</v>
      </c>
      <c r="F145" s="118">
        <v>46142.0</v>
      </c>
    </row>
    <row r="146" ht="22.5" customHeight="1">
      <c r="A146" s="117">
        <v>45894.59723644676</v>
      </c>
      <c r="B146" s="118">
        <v>45894.0</v>
      </c>
      <c r="C146" s="119" t="s">
        <v>538</v>
      </c>
      <c r="D146" s="119">
        <v>500.0</v>
      </c>
      <c r="E146" s="119" t="s">
        <v>1073</v>
      </c>
      <c r="F146" s="118">
        <v>46569.0</v>
      </c>
    </row>
    <row r="147" ht="22.5" customHeight="1">
      <c r="A147" s="117">
        <v>45896.38365703703</v>
      </c>
      <c r="B147" s="118">
        <v>45896.0</v>
      </c>
      <c r="C147" s="119" t="s">
        <v>544</v>
      </c>
      <c r="D147" s="119">
        <v>100.0</v>
      </c>
      <c r="E147" s="119" t="s">
        <v>1073</v>
      </c>
      <c r="F147" s="118">
        <v>46874.0</v>
      </c>
    </row>
    <row r="148" ht="22.5" customHeight="1">
      <c r="A148" s="117">
        <v>45896.38412313657</v>
      </c>
      <c r="B148" s="118">
        <v>45896.0</v>
      </c>
      <c r="C148" s="119" t="s">
        <v>551</v>
      </c>
      <c r="D148" s="119">
        <v>500.0</v>
      </c>
      <c r="E148" s="119" t="s">
        <v>1073</v>
      </c>
      <c r="F148" s="118">
        <v>46692.0</v>
      </c>
    </row>
    <row r="149" ht="22.5" customHeight="1">
      <c r="A149" s="117">
        <v>45908.483738842595</v>
      </c>
      <c r="B149" s="118">
        <v>45908.0</v>
      </c>
      <c r="C149" s="119" t="s">
        <v>566</v>
      </c>
      <c r="D149" s="119">
        <v>200.0</v>
      </c>
      <c r="E149" s="119" t="s">
        <v>562</v>
      </c>
      <c r="F149" s="118">
        <v>46275.0</v>
      </c>
    </row>
    <row r="150" ht="22.5" customHeight="1">
      <c r="A150" s="117">
        <v>45908.484502314815</v>
      </c>
      <c r="B150" s="118">
        <v>45908.0</v>
      </c>
      <c r="C150" s="119" t="s">
        <v>572</v>
      </c>
      <c r="D150" s="119">
        <v>100.0</v>
      </c>
      <c r="E150" s="119" t="s">
        <v>562</v>
      </c>
      <c r="F150" s="118">
        <v>46688.0</v>
      </c>
    </row>
    <row r="151" ht="22.5" customHeight="1">
      <c r="A151" s="117">
        <v>45919.59583471065</v>
      </c>
      <c r="B151" s="118">
        <v>45910.0</v>
      </c>
      <c r="C151" s="119" t="s">
        <v>576</v>
      </c>
      <c r="D151" s="119">
        <v>500.0</v>
      </c>
      <c r="E151" s="119" t="s">
        <v>1073</v>
      </c>
      <c r="F151" s="118">
        <v>47604.0</v>
      </c>
    </row>
    <row r="152" ht="22.5" customHeight="1">
      <c r="A152" s="117">
        <v>45919.59622924768</v>
      </c>
      <c r="B152" s="118">
        <v>45910.0</v>
      </c>
      <c r="C152" s="119" t="s">
        <v>582</v>
      </c>
      <c r="D152" s="119">
        <v>100.0</v>
      </c>
      <c r="E152" s="119" t="s">
        <v>1073</v>
      </c>
      <c r="F152" s="118">
        <v>46844.0</v>
      </c>
    </row>
    <row r="153" ht="22.5" customHeight="1">
      <c r="A153" s="117">
        <v>45924.37582988426</v>
      </c>
      <c r="B153" s="118">
        <v>45923.0</v>
      </c>
      <c r="C153" s="119" t="s">
        <v>588</v>
      </c>
      <c r="D153" s="119">
        <v>250.0</v>
      </c>
      <c r="E153" s="119" t="s">
        <v>1073</v>
      </c>
      <c r="F153" s="118">
        <v>46631.0</v>
      </c>
    </row>
    <row r="154" ht="22.5" customHeight="1">
      <c r="A154" s="117">
        <v>45924.37630715278</v>
      </c>
      <c r="B154" s="118">
        <v>45923.0</v>
      </c>
      <c r="C154" s="119" t="s">
        <v>963</v>
      </c>
      <c r="D154" s="119">
        <v>100.0</v>
      </c>
      <c r="E154" s="119" t="s">
        <v>687</v>
      </c>
      <c r="F154" s="118">
        <v>46752.0</v>
      </c>
    </row>
    <row r="155" ht="22.5" customHeight="1">
      <c r="A155" s="117">
        <v>45924.62379104167</v>
      </c>
      <c r="B155" s="118">
        <v>45924.0</v>
      </c>
      <c r="C155" s="119" t="s">
        <v>594</v>
      </c>
      <c r="D155" s="119">
        <v>1000.0</v>
      </c>
      <c r="E155" s="119" t="s">
        <v>1073</v>
      </c>
      <c r="F155" s="118">
        <v>46356.0</v>
      </c>
    </row>
    <row r="156" ht="22.5" customHeight="1">
      <c r="A156" s="117">
        <v>45930.55823693287</v>
      </c>
      <c r="B156" s="118">
        <v>45925.0</v>
      </c>
      <c r="C156" s="119" t="s">
        <v>831</v>
      </c>
      <c r="D156" s="119">
        <v>2500.0</v>
      </c>
      <c r="E156" s="119" t="s">
        <v>687</v>
      </c>
      <c r="F156" s="118">
        <v>46874.0</v>
      </c>
    </row>
    <row r="157" ht="22.5" customHeight="1">
      <c r="A157" s="117">
        <v>45930.728853368055</v>
      </c>
      <c r="B157" s="118">
        <v>45930.0</v>
      </c>
      <c r="C157" s="119" t="s">
        <v>968</v>
      </c>
      <c r="D157" s="119">
        <v>500.0</v>
      </c>
      <c r="E157" s="119" t="s">
        <v>687</v>
      </c>
      <c r="F157" s="118">
        <v>46812.0</v>
      </c>
    </row>
    <row r="158" ht="22.5" customHeight="1">
      <c r="A158" s="117">
        <v>45930.733899652776</v>
      </c>
      <c r="B158" s="118">
        <v>45930.0</v>
      </c>
      <c r="C158" s="119" t="s">
        <v>798</v>
      </c>
      <c r="D158" s="119">
        <v>250.0</v>
      </c>
      <c r="E158" s="119" t="s">
        <v>687</v>
      </c>
      <c r="F158" s="118">
        <v>46446.0</v>
      </c>
    </row>
    <row r="159" ht="22.5" customHeight="1">
      <c r="A159" s="117">
        <v>45931.71429408564</v>
      </c>
      <c r="B159" s="118">
        <v>45931.0</v>
      </c>
      <c r="C159" s="119" t="s">
        <v>974</v>
      </c>
      <c r="D159" s="119">
        <v>500.0</v>
      </c>
      <c r="E159" s="119" t="s">
        <v>687</v>
      </c>
      <c r="F159" s="118">
        <v>47057.0</v>
      </c>
    </row>
    <row r="160" ht="22.5" customHeight="1">
      <c r="A160" s="117">
        <v>45952.70416648148</v>
      </c>
      <c r="B160" s="118">
        <v>45952.0</v>
      </c>
      <c r="C160" s="119" t="s">
        <v>239</v>
      </c>
      <c r="D160" s="119">
        <v>500.0</v>
      </c>
      <c r="E160" s="119" t="s">
        <v>1073</v>
      </c>
      <c r="F160" s="118">
        <v>46631.0</v>
      </c>
    </row>
    <row r="161" ht="22.5" customHeight="1">
      <c r="A161" s="117">
        <v>45954.63616076389</v>
      </c>
      <c r="B161" s="118">
        <v>45952.0</v>
      </c>
      <c r="C161" s="119" t="s">
        <v>980</v>
      </c>
      <c r="D161" s="119">
        <v>1.0</v>
      </c>
      <c r="E161" s="119" t="s">
        <v>687</v>
      </c>
      <c r="F161" s="118">
        <v>49461.0</v>
      </c>
    </row>
    <row r="162" ht="22.5" customHeight="1">
      <c r="A162" s="117">
        <v>45959.442587094905</v>
      </c>
      <c r="B162" s="118">
        <v>45959.0</v>
      </c>
      <c r="C162" s="119" t="s">
        <v>998</v>
      </c>
      <c r="D162" s="119">
        <v>100.0</v>
      </c>
      <c r="E162" s="119" t="s">
        <v>687</v>
      </c>
      <c r="F162" s="118">
        <v>46296.0</v>
      </c>
    </row>
    <row r="163" ht="22.5" customHeight="1">
      <c r="A163" s="117">
        <v>45979.67323570602</v>
      </c>
      <c r="B163" s="118">
        <v>45958.0</v>
      </c>
      <c r="C163" s="119" t="s">
        <v>600</v>
      </c>
      <c r="D163" s="119">
        <v>100.0</v>
      </c>
      <c r="E163" s="119" t="s">
        <v>1073</v>
      </c>
      <c r="F163" s="118">
        <v>47515.0</v>
      </c>
    </row>
    <row r="164" ht="22.5" customHeight="1">
      <c r="A164" s="117">
        <v>45979.67526892362</v>
      </c>
      <c r="B164" s="118">
        <v>45974.0</v>
      </c>
      <c r="C164" s="119" t="s">
        <v>606</v>
      </c>
      <c r="D164" s="119">
        <v>100.0</v>
      </c>
      <c r="E164" s="119" t="s">
        <v>1073</v>
      </c>
      <c r="F164" s="118">
        <v>46844.0</v>
      </c>
    </row>
    <row r="165" ht="22.5" customHeight="1">
      <c r="A165" s="117">
        <v>45979.6766377662</v>
      </c>
      <c r="B165" s="118">
        <v>45959.0</v>
      </c>
      <c r="C165" s="119" t="s">
        <v>985</v>
      </c>
      <c r="D165" s="119">
        <v>100.0</v>
      </c>
      <c r="E165" s="119" t="s">
        <v>687</v>
      </c>
      <c r="F165" s="118">
        <v>46191.0</v>
      </c>
    </row>
    <row r="166" ht="22.5" customHeight="1">
      <c r="A166" s="117">
        <v>45979.68855871528</v>
      </c>
      <c r="B166" s="118">
        <v>45959.0</v>
      </c>
      <c r="C166" s="119" t="s">
        <v>991</v>
      </c>
      <c r="D166" s="119">
        <v>100.0</v>
      </c>
      <c r="E166" s="119" t="s">
        <v>687</v>
      </c>
      <c r="F166" s="118">
        <v>46538.0</v>
      </c>
    </row>
    <row r="167" ht="22.5" customHeight="1">
      <c r="A167" s="117">
        <v>45979.689500625</v>
      </c>
      <c r="B167" s="118">
        <v>45959.0</v>
      </c>
      <c r="C167" s="119" t="s">
        <v>998</v>
      </c>
      <c r="D167" s="119">
        <v>100.0</v>
      </c>
      <c r="E167" s="119" t="s">
        <v>687</v>
      </c>
      <c r="F167" s="118">
        <v>46388.0</v>
      </c>
    </row>
    <row r="168" ht="22.5" customHeight="1">
      <c r="A168" s="117">
        <v>45979.69048157407</v>
      </c>
      <c r="B168" s="118">
        <v>45974.0</v>
      </c>
      <c r="C168" s="119" t="s">
        <v>1006</v>
      </c>
      <c r="D168" s="119">
        <v>500.0</v>
      </c>
      <c r="E168" s="119" t="s">
        <v>687</v>
      </c>
      <c r="F168" s="118">
        <v>47635.0</v>
      </c>
    </row>
    <row r="169" ht="22.5" customHeight="1">
      <c r="A169" s="117">
        <v>46017.539039351854</v>
      </c>
      <c r="B169" s="118">
        <v>45974.0</v>
      </c>
      <c r="C169" s="119" t="s">
        <v>1012</v>
      </c>
      <c r="D169" s="119">
        <v>100.0</v>
      </c>
      <c r="E169" s="119" t="s">
        <v>687</v>
      </c>
      <c r="F169" s="118">
        <v>46356.0</v>
      </c>
    </row>
    <row r="170" ht="22.5" customHeight="1">
      <c r="A170" s="117">
        <v>45986.361769675925</v>
      </c>
      <c r="B170" s="118">
        <v>45985.0</v>
      </c>
      <c r="C170" s="119" t="s">
        <v>612</v>
      </c>
      <c r="D170" s="119">
        <v>250.0</v>
      </c>
      <c r="E170" s="119" t="s">
        <v>1073</v>
      </c>
      <c r="F170" s="118">
        <v>47543.0</v>
      </c>
    </row>
    <row r="171" ht="22.5" customHeight="1">
      <c r="A171" s="117">
        <v>45987.36120216435</v>
      </c>
      <c r="B171" s="118">
        <v>45986.0</v>
      </c>
      <c r="C171" s="119" t="s">
        <v>618</v>
      </c>
      <c r="D171" s="119">
        <v>0.1</v>
      </c>
      <c r="E171" s="119" t="s">
        <v>1073</v>
      </c>
      <c r="F171" s="118">
        <v>47149.0</v>
      </c>
    </row>
    <row r="172" ht="22.5" customHeight="1">
      <c r="A172" s="117">
        <v>45994.41520043982</v>
      </c>
      <c r="B172" s="118">
        <v>45994.0</v>
      </c>
      <c r="C172" s="119" t="s">
        <v>623</v>
      </c>
      <c r="D172" s="119">
        <v>10.0</v>
      </c>
      <c r="E172" s="119" t="s">
        <v>1073</v>
      </c>
      <c r="F172" s="118">
        <v>46722.0</v>
      </c>
    </row>
    <row r="173" ht="22.5" customHeight="1">
      <c r="A173" s="117">
        <v>45996.675894687505</v>
      </c>
      <c r="B173" s="118">
        <v>45994.0</v>
      </c>
      <c r="C173" s="119" t="s">
        <v>1018</v>
      </c>
      <c r="D173" s="119">
        <v>2500.0</v>
      </c>
      <c r="E173" s="119" t="s">
        <v>687</v>
      </c>
      <c r="F173" s="118">
        <v>47362.0</v>
      </c>
    </row>
    <row r="174" ht="22.5" customHeight="1">
      <c r="A174" s="117">
        <v>45996.67687983796</v>
      </c>
      <c r="B174" s="118">
        <v>45728.0</v>
      </c>
      <c r="C174" s="119" t="s">
        <v>1024</v>
      </c>
      <c r="D174" s="119">
        <v>1000.0</v>
      </c>
      <c r="E174" s="119" t="s">
        <v>687</v>
      </c>
      <c r="F174" s="118">
        <v>47270.0</v>
      </c>
    </row>
    <row r="175" ht="22.5" customHeight="1">
      <c r="A175" s="117">
        <v>45996.67742291666</v>
      </c>
      <c r="B175" s="118">
        <v>45728.0</v>
      </c>
      <c r="C175" s="119" t="s">
        <v>1030</v>
      </c>
      <c r="D175" s="119">
        <v>2500.0</v>
      </c>
      <c r="E175" s="119" t="s">
        <v>687</v>
      </c>
      <c r="F175" s="118">
        <v>47300.0</v>
      </c>
    </row>
    <row r="176" ht="22.5" customHeight="1">
      <c r="A176" s="117">
        <v>46003.42905096065</v>
      </c>
      <c r="B176" s="118">
        <v>45789.0</v>
      </c>
      <c r="C176" s="119" t="s">
        <v>630</v>
      </c>
      <c r="D176" s="119">
        <v>500.0</v>
      </c>
      <c r="E176" s="119" t="s">
        <v>1073</v>
      </c>
      <c r="F176" s="118">
        <v>46599.0</v>
      </c>
    </row>
    <row r="177" ht="22.5" customHeight="1">
      <c r="A177" s="117">
        <v>46013.58086648148</v>
      </c>
      <c r="B177" s="118">
        <v>46013.0</v>
      </c>
      <c r="C177" s="119" t="s">
        <v>637</v>
      </c>
      <c r="D177" s="119">
        <v>10.0</v>
      </c>
      <c r="E177" s="119" t="s">
        <v>562</v>
      </c>
      <c r="F177" s="118">
        <v>46418.0</v>
      </c>
    </row>
    <row r="178" ht="22.5" customHeight="1">
      <c r="A178" s="117">
        <v>46013.638731238425</v>
      </c>
      <c r="B178" s="118">
        <v>46013.0</v>
      </c>
      <c r="C178" s="119" t="s">
        <v>170</v>
      </c>
      <c r="D178" s="119">
        <v>250.0</v>
      </c>
      <c r="E178" s="119" t="s">
        <v>1073</v>
      </c>
      <c r="F178" s="118">
        <v>46783.0</v>
      </c>
    </row>
    <row r="179" ht="22.5" customHeight="1">
      <c r="A179" s="117">
        <v>46015.69828300926</v>
      </c>
      <c r="B179" s="118">
        <v>46015.0</v>
      </c>
      <c r="C179" s="119" t="s">
        <v>804</v>
      </c>
      <c r="D179" s="119">
        <v>100.0</v>
      </c>
      <c r="E179" s="119" t="s">
        <v>687</v>
      </c>
      <c r="F179" s="118">
        <v>46538.0</v>
      </c>
    </row>
    <row r="180" ht="22.5" customHeight="1">
      <c r="A180" s="117">
        <v>46017.33389408565</v>
      </c>
      <c r="B180" s="118">
        <v>45979.0</v>
      </c>
      <c r="C180" s="119" t="s">
        <v>823</v>
      </c>
      <c r="D180" s="119">
        <v>2500.0</v>
      </c>
      <c r="E180" s="119" t="s">
        <v>687</v>
      </c>
      <c r="F180" s="118">
        <v>46539.0</v>
      </c>
    </row>
    <row r="181" ht="22.5" customHeight="1">
      <c r="A181" s="117">
        <v>46017.53636092592</v>
      </c>
      <c r="B181" s="118">
        <v>46017.0</v>
      </c>
      <c r="C181" s="119" t="s">
        <v>643</v>
      </c>
      <c r="D181" s="119">
        <v>250.0</v>
      </c>
      <c r="E181" s="119" t="s">
        <v>1073</v>
      </c>
      <c r="F181" s="118">
        <v>47696.0</v>
      </c>
    </row>
    <row r="182" ht="22.5" customHeight="1">
      <c r="A182" s="117">
        <v>46027.3367308912</v>
      </c>
      <c r="B182" s="118">
        <v>46022.0</v>
      </c>
      <c r="C182" s="119" t="s">
        <v>649</v>
      </c>
      <c r="D182" s="119">
        <v>50.0</v>
      </c>
      <c r="E182" s="119" t="s">
        <v>562</v>
      </c>
      <c r="F182" s="118">
        <v>46631.0</v>
      </c>
    </row>
    <row r="183" ht="22.5" customHeight="1">
      <c r="A183" s="117">
        <v>46029.34896833333</v>
      </c>
      <c r="B183" s="118">
        <v>46029.0</v>
      </c>
      <c r="C183" s="119" t="s">
        <v>1037</v>
      </c>
      <c r="D183" s="119">
        <v>4000.0</v>
      </c>
      <c r="E183" s="119" t="s">
        <v>687</v>
      </c>
      <c r="F183" s="118">
        <v>46635.0</v>
      </c>
    </row>
    <row r="184" ht="22.5" customHeight="1">
      <c r="A184" s="117">
        <v>46034.49985153935</v>
      </c>
      <c r="B184" s="118">
        <v>46034.0</v>
      </c>
      <c r="C184" s="119" t="s">
        <v>1043</v>
      </c>
      <c r="D184" s="119">
        <v>100.0</v>
      </c>
      <c r="E184" s="119" t="s">
        <v>687</v>
      </c>
      <c r="F184" s="118">
        <v>46235.0</v>
      </c>
    </row>
    <row r="185" ht="22.5" customHeight="1">
      <c r="A185" s="117">
        <v>46035.56503295139</v>
      </c>
      <c r="B185" s="118">
        <v>46029.0</v>
      </c>
      <c r="C185" s="119" t="s">
        <v>850</v>
      </c>
      <c r="D185" s="119">
        <v>4000.0</v>
      </c>
      <c r="E185" s="119" t="s">
        <v>687</v>
      </c>
      <c r="F185" s="118">
        <v>47150.0</v>
      </c>
    </row>
    <row r="186" ht="22.5" customHeight="1">
      <c r="A186" s="117">
        <v>46037.57988774306</v>
      </c>
      <c r="B186" s="118">
        <v>46037.0</v>
      </c>
      <c r="C186" s="119" t="s">
        <v>653</v>
      </c>
      <c r="D186" s="119">
        <v>25.0</v>
      </c>
      <c r="E186" s="119" t="s">
        <v>1073</v>
      </c>
      <c r="F186" s="118">
        <v>47178.0</v>
      </c>
    </row>
    <row r="187" ht="22.5" customHeight="1">
      <c r="A187" s="117">
        <v>46041.342444548616</v>
      </c>
      <c r="B187" s="118">
        <v>46041.0</v>
      </c>
      <c r="C187" s="119" t="s">
        <v>920</v>
      </c>
      <c r="D187" s="119">
        <v>500.0</v>
      </c>
      <c r="E187" s="119" t="s">
        <v>687</v>
      </c>
      <c r="F187" s="118">
        <v>46752.0</v>
      </c>
    </row>
    <row r="188" ht="22.5" customHeight="1">
      <c r="A188" s="117">
        <v>46044.44226517361</v>
      </c>
      <c r="B188" s="118">
        <v>46042.0</v>
      </c>
      <c r="C188" s="119" t="s">
        <v>155</v>
      </c>
      <c r="D188" s="119">
        <v>1000.0</v>
      </c>
      <c r="E188" s="119" t="s">
        <v>1073</v>
      </c>
      <c r="F188" s="118">
        <v>47849.0</v>
      </c>
    </row>
    <row r="189" ht="22.5" customHeight="1">
      <c r="A189" s="117">
        <v>46044.66539980324</v>
      </c>
      <c r="B189" s="118">
        <v>46044.0</v>
      </c>
      <c r="C189" s="119" t="s">
        <v>882</v>
      </c>
      <c r="D189" s="119">
        <v>500.0</v>
      </c>
      <c r="E189" s="119" t="s">
        <v>687</v>
      </c>
      <c r="F189" s="118">
        <v>46388.0</v>
      </c>
    </row>
    <row r="190" ht="22.5" customHeight="1">
      <c r="A190" s="117">
        <v>46045.40866806713</v>
      </c>
      <c r="B190" s="118">
        <v>46045.0</v>
      </c>
      <c r="C190" s="119" t="s">
        <v>823</v>
      </c>
      <c r="D190" s="119">
        <v>500.0</v>
      </c>
      <c r="E190" s="119" t="s">
        <v>687</v>
      </c>
      <c r="F190" s="118">
        <v>46753.0</v>
      </c>
    </row>
    <row r="191" ht="22.5" customHeight="1">
      <c r="A191" s="117">
        <v>46045.69467837963</v>
      </c>
      <c r="B191" s="118">
        <v>46042.0</v>
      </c>
      <c r="C191" s="119" t="s">
        <v>658</v>
      </c>
      <c r="D191" s="119">
        <v>500.0</v>
      </c>
      <c r="E191" s="119" t="s">
        <v>1073</v>
      </c>
      <c r="F191" s="118">
        <v>46295.0</v>
      </c>
    </row>
    <row r="192" ht="22.5" customHeight="1">
      <c r="A192" s="117">
        <v>46048.419009861114</v>
      </c>
      <c r="B192" s="118">
        <v>46048.0</v>
      </c>
      <c r="C192" s="119" t="s">
        <v>888</v>
      </c>
      <c r="D192" s="119">
        <v>500.0</v>
      </c>
      <c r="E192" s="119" t="s">
        <v>687</v>
      </c>
      <c r="F192" s="118">
        <v>47119.0</v>
      </c>
    </row>
    <row r="193" ht="22.5" customHeight="1">
      <c r="A193" s="117">
        <v>46048.47285922454</v>
      </c>
      <c r="B193" s="118">
        <v>46048.0</v>
      </c>
      <c r="C193" s="119" t="s">
        <v>920</v>
      </c>
      <c r="D193" s="119">
        <v>500.0</v>
      </c>
      <c r="E193" s="119" t="s">
        <v>687</v>
      </c>
      <c r="F193" s="118">
        <v>46752.0</v>
      </c>
    </row>
    <row r="194" ht="22.5" customHeight="1">
      <c r="A194" s="117">
        <v>46048.57728538194</v>
      </c>
      <c r="B194" s="118">
        <v>46048.0</v>
      </c>
      <c r="C194" s="119" t="s">
        <v>170</v>
      </c>
      <c r="D194" s="119">
        <v>250.0</v>
      </c>
      <c r="E194" s="119" t="s">
        <v>1073</v>
      </c>
      <c r="F194" s="118">
        <v>46783.0</v>
      </c>
    </row>
    <row r="195" ht="22.5" customHeight="1">
      <c r="A195" s="117">
        <v>46050.48305206018</v>
      </c>
      <c r="B195" s="118">
        <v>46049.0</v>
      </c>
      <c r="C195" s="119" t="s">
        <v>513</v>
      </c>
      <c r="D195" s="119">
        <v>25.0</v>
      </c>
      <c r="E195" s="119" t="s">
        <v>1073</v>
      </c>
      <c r="F195" s="118">
        <v>46966.0</v>
      </c>
    </row>
    <row r="196" ht="22.5" customHeight="1">
      <c r="A196" s="117">
        <v>46050.5456921875</v>
      </c>
      <c r="B196" s="118">
        <v>46049.0</v>
      </c>
      <c r="C196" s="119" t="s">
        <v>823</v>
      </c>
      <c r="D196" s="119">
        <v>2500.0</v>
      </c>
      <c r="E196" s="119" t="s">
        <v>687</v>
      </c>
      <c r="F196" s="118">
        <v>47818.0</v>
      </c>
    </row>
    <row r="197" ht="22.5" customHeight="1">
      <c r="A197" s="117">
        <v>46050.58049857639</v>
      </c>
      <c r="B197" s="118">
        <v>45925.0</v>
      </c>
      <c r="C197" s="119" t="s">
        <v>831</v>
      </c>
      <c r="D197" s="119">
        <v>2500.0</v>
      </c>
      <c r="E197" s="119" t="s">
        <v>687</v>
      </c>
      <c r="F197" s="118">
        <v>46874.0</v>
      </c>
    </row>
    <row r="198" ht="22.5" customHeight="1">
      <c r="A198" s="117">
        <v>46051.68542866898</v>
      </c>
      <c r="B198" s="118">
        <v>46051.0</v>
      </c>
      <c r="C198" s="119" t="s">
        <v>823</v>
      </c>
      <c r="D198" s="119">
        <v>2500.0</v>
      </c>
      <c r="E198" s="119" t="s">
        <v>687</v>
      </c>
      <c r="F198" s="118">
        <v>47362.0</v>
      </c>
    </row>
    <row r="199" ht="22.5" customHeight="1">
      <c r="A199" s="117">
        <v>46051.68620498842</v>
      </c>
      <c r="B199" s="118">
        <v>46051.0</v>
      </c>
      <c r="C199" s="119" t="s">
        <v>837</v>
      </c>
      <c r="D199" s="119">
        <v>4000.0</v>
      </c>
      <c r="E199" s="119" t="s">
        <v>687</v>
      </c>
      <c r="F199" s="118">
        <v>46657.0</v>
      </c>
    </row>
    <row r="200" ht="22.5" customHeight="1">
      <c r="A200" s="117">
        <v>46055.663313240744</v>
      </c>
      <c r="B200" s="118">
        <v>46055.0</v>
      </c>
      <c r="C200" s="119" t="s">
        <v>663</v>
      </c>
      <c r="D200" s="119">
        <v>10.0</v>
      </c>
      <c r="E200" s="119" t="s">
        <v>562</v>
      </c>
      <c r="F200" s="118">
        <v>46356.0</v>
      </c>
    </row>
    <row r="201" ht="22.5" customHeight="1">
      <c r="A201" s="117">
        <v>46056.31691226852</v>
      </c>
      <c r="B201" s="118">
        <v>46055.0</v>
      </c>
      <c r="C201" s="119" t="s">
        <v>856</v>
      </c>
      <c r="D201" s="119">
        <v>4000.0</v>
      </c>
      <c r="E201" s="119" t="s">
        <v>687</v>
      </c>
      <c r="F201" s="118">
        <v>46056.0</v>
      </c>
    </row>
    <row r="202" ht="22.5" customHeight="1">
      <c r="A202" s="117">
        <v>46058.34285983796</v>
      </c>
      <c r="B202" s="118">
        <v>46056.0</v>
      </c>
      <c r="C202" s="119" t="s">
        <v>59</v>
      </c>
      <c r="D202" s="119">
        <v>250.0</v>
      </c>
      <c r="E202" s="119" t="s">
        <v>1073</v>
      </c>
      <c r="F202" s="118">
        <v>46873.0</v>
      </c>
    </row>
    <row r="203" ht="22.5" customHeight="1">
      <c r="A203" s="117">
        <v>46058.48990359953</v>
      </c>
      <c r="B203" s="118">
        <v>46058.0</v>
      </c>
      <c r="C203" s="119" t="s">
        <v>817</v>
      </c>
      <c r="D203" s="119">
        <v>2500.0</v>
      </c>
      <c r="E203" s="119" t="s">
        <v>687</v>
      </c>
      <c r="F203" s="118">
        <v>47301.0</v>
      </c>
    </row>
    <row r="204" ht="22.5" customHeight="1">
      <c r="A204" s="117">
        <v>46058.4902812037</v>
      </c>
      <c r="B204" s="118">
        <v>46058.0</v>
      </c>
      <c r="C204" s="119" t="s">
        <v>831</v>
      </c>
      <c r="D204" s="119">
        <v>2500.0</v>
      </c>
      <c r="E204" s="119" t="s">
        <v>687</v>
      </c>
      <c r="F204" s="118">
        <v>47366.0</v>
      </c>
    </row>
    <row r="205" ht="22.5" customHeight="1">
      <c r="A205" s="117">
        <v>46062.686588125</v>
      </c>
      <c r="B205" s="118">
        <v>46057.0</v>
      </c>
      <c r="C205" s="119" t="s">
        <v>588</v>
      </c>
      <c r="D205" s="119">
        <v>500.0</v>
      </c>
      <c r="E205" s="119" t="s">
        <v>1073</v>
      </c>
      <c r="F205" s="118">
        <v>47543.0</v>
      </c>
    </row>
    <row r="206" ht="22.5" customHeight="1">
      <c r="A206" s="117">
        <v>46062.69213074074</v>
      </c>
      <c r="B206" s="118">
        <v>46062.0</v>
      </c>
      <c r="C206" s="119" t="s">
        <v>882</v>
      </c>
      <c r="D206" s="119">
        <v>500.0</v>
      </c>
      <c r="E206" s="119" t="s">
        <v>687</v>
      </c>
      <c r="F206" s="118">
        <v>46704.0</v>
      </c>
    </row>
    <row r="207" ht="22.5" customHeight="1">
      <c r="A207" s="117">
        <v>46063.665841967595</v>
      </c>
      <c r="B207" s="118">
        <v>46063.0</v>
      </c>
      <c r="C207" s="119" t="s">
        <v>668</v>
      </c>
      <c r="D207" s="119">
        <v>500.0</v>
      </c>
      <c r="E207" s="119" t="s">
        <v>1073</v>
      </c>
      <c r="F207" s="118">
        <v>46544.0</v>
      </c>
    </row>
    <row r="208" ht="22.5" customHeight="1">
      <c r="A208" s="117">
        <v>46064.61382241898</v>
      </c>
      <c r="B208" s="118">
        <v>46064.0</v>
      </c>
      <c r="C208" s="119" t="s">
        <v>464</v>
      </c>
      <c r="D208" s="119">
        <v>500.0</v>
      </c>
      <c r="E208" s="119" t="s">
        <v>1073</v>
      </c>
      <c r="F208" s="118">
        <v>46630.0</v>
      </c>
    </row>
    <row r="209" ht="22.5" customHeight="1">
      <c r="A209" s="117">
        <v>46064.69053071759</v>
      </c>
      <c r="B209" s="118">
        <v>46064.0</v>
      </c>
      <c r="C209" s="119" t="s">
        <v>673</v>
      </c>
      <c r="D209" s="119">
        <v>25.0</v>
      </c>
      <c r="E209" s="119" t="s">
        <v>1073</v>
      </c>
      <c r="F209" s="118">
        <v>47574.0</v>
      </c>
    </row>
    <row r="210" ht="22.5" customHeight="1">
      <c r="A210" s="117">
        <v>46079.313197361116</v>
      </c>
      <c r="B210" s="118">
        <v>46079.0</v>
      </c>
      <c r="C210" s="119" t="s">
        <v>31</v>
      </c>
      <c r="D210" s="119">
        <v>250.0</v>
      </c>
      <c r="E210" s="119" t="s">
        <v>1073</v>
      </c>
      <c r="F210" s="118">
        <v>47848.0</v>
      </c>
    </row>
    <row r="211" ht="22.5" customHeight="1">
      <c r="A211" s="117">
        <v>46090.328480474534</v>
      </c>
      <c r="B211" s="118">
        <v>46087.0</v>
      </c>
      <c r="C211" s="119" t="s">
        <v>763</v>
      </c>
      <c r="D211" s="119">
        <v>100.0</v>
      </c>
      <c r="E211" s="119" t="s">
        <v>687</v>
      </c>
      <c r="F211" s="118">
        <v>47208.0</v>
      </c>
    </row>
    <row r="212" ht="22.5" customHeight="1">
      <c r="A212" s="117">
        <v>46090.32893957176</v>
      </c>
      <c r="B212" s="118">
        <v>46087.0</v>
      </c>
      <c r="C212" s="119" t="s">
        <v>769</v>
      </c>
      <c r="D212" s="119">
        <v>100.0</v>
      </c>
      <c r="E212" s="119" t="s">
        <v>687</v>
      </c>
      <c r="F212" s="118">
        <v>46477.0</v>
      </c>
    </row>
    <row r="213" ht="22.5" customHeight="1">
      <c r="A213" s="117">
        <v>46093.41941325231</v>
      </c>
      <c r="B213" s="118">
        <v>46093.0</v>
      </c>
      <c r="C213" s="119" t="s">
        <v>679</v>
      </c>
      <c r="D213" s="119">
        <v>500.0</v>
      </c>
      <c r="E213" s="119" t="s">
        <v>1073</v>
      </c>
      <c r="F213" s="118">
        <v>47665.0</v>
      </c>
    </row>
    <row r="214" ht="22.5" customHeight="1">
      <c r="A214" s="117">
        <v>46108.581576701385</v>
      </c>
      <c r="B214" s="118">
        <v>46108.0</v>
      </c>
      <c r="C214" s="119" t="s">
        <v>798</v>
      </c>
      <c r="D214" s="119">
        <v>250.0</v>
      </c>
      <c r="E214" s="119" t="s">
        <v>687</v>
      </c>
      <c r="F214" s="118">
        <v>46446.0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21" t="s">
        <v>1074</v>
      </c>
      <c r="B1" s="121" t="s">
        <v>1068</v>
      </c>
      <c r="C1" s="121" t="s">
        <v>1069</v>
      </c>
      <c r="D1" s="121" t="s">
        <v>1070</v>
      </c>
      <c r="E1" s="121" t="s">
        <v>1071</v>
      </c>
      <c r="F1" s="121" t="s">
        <v>1075</v>
      </c>
    </row>
    <row r="2" ht="22.5" customHeight="1">
      <c r="A2" s="114">
        <v>45840.4095743287</v>
      </c>
      <c r="B2" s="115">
        <v>45831.0</v>
      </c>
      <c r="C2" s="116" t="s">
        <v>170</v>
      </c>
      <c r="D2" s="116">
        <v>6.0</v>
      </c>
      <c r="E2" s="116" t="s">
        <v>1073</v>
      </c>
      <c r="F2" s="116" t="s">
        <v>1076</v>
      </c>
    </row>
    <row r="3" ht="22.5" customHeight="1">
      <c r="A3" s="117">
        <v>45840.41103152778</v>
      </c>
      <c r="B3" s="118">
        <v>45831.0</v>
      </c>
      <c r="C3" s="119" t="s">
        <v>225</v>
      </c>
      <c r="D3" s="119">
        <v>0.25</v>
      </c>
      <c r="E3" s="119" t="s">
        <v>1073</v>
      </c>
      <c r="F3" s="119" t="s">
        <v>1076</v>
      </c>
    </row>
    <row r="4" ht="22.5" customHeight="1">
      <c r="A4" s="117">
        <v>45840.411827118056</v>
      </c>
      <c r="B4" s="118">
        <v>45831.0</v>
      </c>
      <c r="C4" s="119" t="s">
        <v>239</v>
      </c>
      <c r="D4" s="119">
        <v>10.0</v>
      </c>
      <c r="E4" s="119" t="s">
        <v>1073</v>
      </c>
      <c r="F4" s="119" t="s">
        <v>1076</v>
      </c>
    </row>
    <row r="5" ht="22.5" customHeight="1">
      <c r="A5" s="117">
        <v>45840.41262965278</v>
      </c>
      <c r="B5" s="118">
        <v>45831.0</v>
      </c>
      <c r="C5" s="119" t="s">
        <v>155</v>
      </c>
      <c r="D5" s="119">
        <v>0.5</v>
      </c>
      <c r="E5" s="119" t="s">
        <v>1073</v>
      </c>
      <c r="F5" s="119" t="s">
        <v>1076</v>
      </c>
    </row>
    <row r="6" ht="22.5" customHeight="1">
      <c r="A6" s="117">
        <v>45840.41342293982</v>
      </c>
      <c r="B6" s="118">
        <v>45831.0</v>
      </c>
      <c r="C6" s="119" t="s">
        <v>882</v>
      </c>
      <c r="D6" s="119">
        <v>10.0</v>
      </c>
      <c r="E6" s="119" t="s">
        <v>687</v>
      </c>
      <c r="F6" s="119" t="s">
        <v>1076</v>
      </c>
    </row>
    <row r="7" ht="22.5" customHeight="1">
      <c r="A7" s="117">
        <v>45840.41434295139</v>
      </c>
      <c r="B7" s="118">
        <v>45832.0</v>
      </c>
      <c r="C7" s="119" t="s">
        <v>239</v>
      </c>
      <c r="D7" s="119">
        <v>10.0</v>
      </c>
      <c r="E7" s="119" t="s">
        <v>1073</v>
      </c>
      <c r="F7" s="119" t="s">
        <v>1076</v>
      </c>
    </row>
    <row r="8" ht="22.5" customHeight="1">
      <c r="A8" s="117">
        <v>45840.414821377315</v>
      </c>
      <c r="B8" s="118">
        <v>45832.0</v>
      </c>
      <c r="C8" s="119" t="s">
        <v>155</v>
      </c>
      <c r="D8" s="119">
        <v>0.5</v>
      </c>
      <c r="E8" s="119" t="s">
        <v>1073</v>
      </c>
      <c r="F8" s="119" t="s">
        <v>1076</v>
      </c>
    </row>
    <row r="9" ht="22.5" customHeight="1">
      <c r="A9" s="117">
        <v>45840.41521424768</v>
      </c>
      <c r="B9" s="118">
        <v>45832.0</v>
      </c>
      <c r="C9" s="119" t="s">
        <v>882</v>
      </c>
      <c r="D9" s="119">
        <v>10.0</v>
      </c>
      <c r="E9" s="119" t="s">
        <v>687</v>
      </c>
      <c r="F9" s="119" t="s">
        <v>1076</v>
      </c>
    </row>
    <row r="10" ht="22.5" customHeight="1">
      <c r="A10" s="117">
        <v>45840.41617564815</v>
      </c>
      <c r="B10" s="118">
        <v>45831.0</v>
      </c>
      <c r="C10" s="119" t="s">
        <v>892</v>
      </c>
      <c r="D10" s="119">
        <v>50.0</v>
      </c>
      <c r="E10" s="119" t="s">
        <v>687</v>
      </c>
      <c r="F10" s="119" t="s">
        <v>1076</v>
      </c>
    </row>
    <row r="11" ht="22.5" customHeight="1">
      <c r="A11" s="117">
        <v>45840.41742881945</v>
      </c>
      <c r="B11" s="118">
        <v>45833.0</v>
      </c>
      <c r="C11" s="119" t="s">
        <v>831</v>
      </c>
      <c r="D11" s="119">
        <v>50.0</v>
      </c>
      <c r="E11" s="119" t="s">
        <v>687</v>
      </c>
      <c r="F11" s="119" t="s">
        <v>1076</v>
      </c>
    </row>
    <row r="12" ht="22.5" customHeight="1">
      <c r="A12" s="117">
        <v>45840.418329259264</v>
      </c>
      <c r="B12" s="118">
        <v>45833.0</v>
      </c>
      <c r="C12" s="119" t="s">
        <v>239</v>
      </c>
      <c r="D12" s="119">
        <v>10.0</v>
      </c>
      <c r="E12" s="119" t="s">
        <v>1073</v>
      </c>
      <c r="F12" s="119" t="s">
        <v>1076</v>
      </c>
    </row>
    <row r="13" ht="22.5" customHeight="1">
      <c r="A13" s="117">
        <v>45840.418743877315</v>
      </c>
      <c r="B13" s="118">
        <v>45833.0</v>
      </c>
      <c r="C13" s="119" t="s">
        <v>155</v>
      </c>
      <c r="D13" s="119">
        <v>0.5</v>
      </c>
      <c r="E13" s="119" t="s">
        <v>1073</v>
      </c>
      <c r="F13" s="119" t="s">
        <v>1076</v>
      </c>
    </row>
    <row r="14" ht="22.5" customHeight="1">
      <c r="A14" s="117">
        <v>45840.419236284724</v>
      </c>
      <c r="B14" s="118">
        <v>45833.0</v>
      </c>
      <c r="C14" s="119" t="s">
        <v>882</v>
      </c>
      <c r="D14" s="119">
        <v>10.0</v>
      </c>
      <c r="E14" s="119" t="s">
        <v>687</v>
      </c>
      <c r="F14" s="119" t="s">
        <v>1076</v>
      </c>
    </row>
    <row r="15" ht="22.5" customHeight="1">
      <c r="A15" s="117">
        <v>45840.421656736115</v>
      </c>
      <c r="B15" s="118">
        <v>45834.0</v>
      </c>
      <c r="C15" s="119" t="s">
        <v>239</v>
      </c>
      <c r="D15" s="119">
        <v>10.0</v>
      </c>
      <c r="E15" s="119" t="s">
        <v>1073</v>
      </c>
      <c r="F15" s="119" t="s">
        <v>1076</v>
      </c>
    </row>
    <row r="16" ht="22.5" customHeight="1">
      <c r="A16" s="117">
        <v>45840.422082488425</v>
      </c>
      <c r="B16" s="118">
        <v>45834.0</v>
      </c>
      <c r="C16" s="119" t="s">
        <v>155</v>
      </c>
      <c r="D16" s="119">
        <v>0.5</v>
      </c>
      <c r="E16" s="119" t="s">
        <v>1073</v>
      </c>
      <c r="F16" s="119" t="s">
        <v>1076</v>
      </c>
    </row>
    <row r="17" ht="22.5" customHeight="1">
      <c r="A17" s="117">
        <v>45840.42325050926</v>
      </c>
      <c r="B17" s="118">
        <v>45838.0</v>
      </c>
      <c r="C17" s="119" t="s">
        <v>239</v>
      </c>
      <c r="D17" s="119">
        <v>20.0</v>
      </c>
      <c r="E17" s="119" t="s">
        <v>1073</v>
      </c>
      <c r="F17" s="119" t="s">
        <v>1077</v>
      </c>
    </row>
    <row r="18" ht="22.5" customHeight="1">
      <c r="A18" s="117">
        <v>45840.42357236111</v>
      </c>
      <c r="B18" s="118">
        <v>45838.0</v>
      </c>
      <c r="C18" s="119" t="s">
        <v>155</v>
      </c>
      <c r="D18" s="119">
        <v>1.0</v>
      </c>
      <c r="E18" s="119" t="s">
        <v>1073</v>
      </c>
      <c r="F18" s="119" t="s">
        <v>1077</v>
      </c>
    </row>
    <row r="19" ht="22.5" customHeight="1">
      <c r="A19" s="117">
        <v>45840.42437167824</v>
      </c>
      <c r="B19" s="118">
        <v>45838.0</v>
      </c>
      <c r="C19" s="119" t="s">
        <v>170</v>
      </c>
      <c r="D19" s="119">
        <v>6.0</v>
      </c>
      <c r="E19" s="119" t="s">
        <v>1073</v>
      </c>
      <c r="F19" s="119" t="s">
        <v>1078</v>
      </c>
    </row>
    <row r="20" ht="22.5" customHeight="1">
      <c r="A20" s="117">
        <v>45840.427598229166</v>
      </c>
      <c r="B20" s="118">
        <v>45838.0</v>
      </c>
      <c r="C20" s="119" t="s">
        <v>892</v>
      </c>
      <c r="D20" s="119">
        <v>60.0</v>
      </c>
      <c r="E20" s="119" t="s">
        <v>687</v>
      </c>
      <c r="F20" s="119" t="s">
        <v>1078</v>
      </c>
    </row>
    <row r="21" ht="22.5" customHeight="1">
      <c r="A21" s="117">
        <v>45840.428273136575</v>
      </c>
      <c r="B21" s="118">
        <v>45838.0</v>
      </c>
      <c r="C21" s="119" t="s">
        <v>225</v>
      </c>
      <c r="D21" s="119">
        <v>0.25</v>
      </c>
      <c r="E21" s="119" t="s">
        <v>1073</v>
      </c>
      <c r="F21" s="119" t="s">
        <v>1076</v>
      </c>
    </row>
    <row r="22" ht="22.5" customHeight="1">
      <c r="A22" s="117">
        <v>45840.42909797454</v>
      </c>
      <c r="B22" s="118">
        <v>45838.0</v>
      </c>
      <c r="C22" s="119" t="s">
        <v>239</v>
      </c>
      <c r="D22" s="119">
        <v>20.0</v>
      </c>
      <c r="E22" s="119" t="s">
        <v>1073</v>
      </c>
      <c r="F22" s="119" t="s">
        <v>1077</v>
      </c>
    </row>
    <row r="23" ht="22.5" customHeight="1">
      <c r="A23" s="117">
        <v>45840.42967311342</v>
      </c>
      <c r="B23" s="118">
        <v>45473.0</v>
      </c>
      <c r="C23" s="119" t="s">
        <v>155</v>
      </c>
      <c r="D23" s="119">
        <v>1.0</v>
      </c>
      <c r="E23" s="119" t="s">
        <v>1073</v>
      </c>
      <c r="F23" s="119" t="s">
        <v>1077</v>
      </c>
    </row>
    <row r="24" ht="22.5" customHeight="1">
      <c r="A24" s="117">
        <v>45840.43018541667</v>
      </c>
      <c r="B24" s="118">
        <v>45838.0</v>
      </c>
      <c r="C24" s="119" t="s">
        <v>225</v>
      </c>
      <c r="D24" s="119">
        <v>0.25</v>
      </c>
      <c r="E24" s="119" t="s">
        <v>1073</v>
      </c>
      <c r="F24" s="119" t="s">
        <v>1076</v>
      </c>
    </row>
    <row r="25" ht="22.5" customHeight="1">
      <c r="A25" s="117">
        <v>45840.43048826389</v>
      </c>
      <c r="B25" s="118">
        <v>45838.0</v>
      </c>
      <c r="C25" s="119" t="s">
        <v>170</v>
      </c>
      <c r="D25" s="119">
        <v>6.0</v>
      </c>
      <c r="E25" s="119" t="s">
        <v>1073</v>
      </c>
      <c r="F25" s="119" t="s">
        <v>1076</v>
      </c>
    </row>
    <row r="26" ht="22.5" customHeight="1">
      <c r="A26" s="117">
        <v>45840.43080229167</v>
      </c>
      <c r="B26" s="118">
        <v>45473.0</v>
      </c>
      <c r="C26" s="119" t="s">
        <v>892</v>
      </c>
      <c r="D26" s="119">
        <v>55.0</v>
      </c>
      <c r="E26" s="119" t="s">
        <v>687</v>
      </c>
      <c r="F26" s="119" t="s">
        <v>1076</v>
      </c>
    </row>
    <row r="27" ht="22.5" customHeight="1">
      <c r="A27" s="117">
        <v>45840.431876863426</v>
      </c>
      <c r="B27" s="118">
        <v>45839.0</v>
      </c>
      <c r="C27" s="119" t="s">
        <v>239</v>
      </c>
      <c r="D27" s="119">
        <v>20.0</v>
      </c>
      <c r="E27" s="119" t="s">
        <v>1073</v>
      </c>
      <c r="F27" s="119" t="s">
        <v>1078</v>
      </c>
    </row>
    <row r="28" ht="22.5" customHeight="1">
      <c r="A28" s="117">
        <v>45840.43221508102</v>
      </c>
      <c r="B28" s="118">
        <v>45839.0</v>
      </c>
      <c r="C28" s="119" t="s">
        <v>155</v>
      </c>
      <c r="D28" s="119">
        <v>1.0</v>
      </c>
      <c r="E28" s="119" t="s">
        <v>1073</v>
      </c>
      <c r="F28" s="119" t="s">
        <v>1078</v>
      </c>
    </row>
    <row r="29" ht="22.5" customHeight="1">
      <c r="A29" s="117">
        <v>45840.432919479164</v>
      </c>
      <c r="B29" s="118">
        <v>45840.0</v>
      </c>
      <c r="C29" s="119" t="s">
        <v>239</v>
      </c>
      <c r="D29" s="119">
        <v>20.0</v>
      </c>
      <c r="E29" s="119" t="s">
        <v>1073</v>
      </c>
      <c r="F29" s="119" t="s">
        <v>1076</v>
      </c>
    </row>
    <row r="30" ht="22.5" customHeight="1">
      <c r="A30" s="117">
        <v>45840.43320339121</v>
      </c>
      <c r="B30" s="118">
        <v>45840.0</v>
      </c>
      <c r="C30" s="119" t="s">
        <v>155</v>
      </c>
      <c r="D30" s="119">
        <v>1.0</v>
      </c>
      <c r="E30" s="119" t="s">
        <v>1073</v>
      </c>
      <c r="F30" s="119" t="s">
        <v>1076</v>
      </c>
    </row>
    <row r="31" ht="22.5" customHeight="1">
      <c r="A31" s="117">
        <v>45840.43389375</v>
      </c>
      <c r="B31" s="118">
        <v>45838.0</v>
      </c>
      <c r="C31" s="119" t="s">
        <v>882</v>
      </c>
      <c r="D31" s="119">
        <v>20.0</v>
      </c>
      <c r="E31" s="119" t="s">
        <v>687</v>
      </c>
      <c r="F31" s="119" t="s">
        <v>1078</v>
      </c>
    </row>
    <row r="32" ht="22.5" customHeight="1">
      <c r="A32" s="117">
        <v>45840.43431059028</v>
      </c>
      <c r="B32" s="118">
        <v>45838.0</v>
      </c>
      <c r="C32" s="119" t="s">
        <v>882</v>
      </c>
      <c r="D32" s="119">
        <v>20.0</v>
      </c>
      <c r="E32" s="119" t="s">
        <v>687</v>
      </c>
      <c r="F32" s="119" t="s">
        <v>1076</v>
      </c>
    </row>
    <row r="33" ht="22.5" customHeight="1">
      <c r="A33" s="117">
        <v>45840.43477799768</v>
      </c>
      <c r="B33" s="118">
        <v>45840.0</v>
      </c>
      <c r="C33" s="119" t="s">
        <v>882</v>
      </c>
      <c r="D33" s="119">
        <v>20.0</v>
      </c>
      <c r="E33" s="119" t="s">
        <v>687</v>
      </c>
      <c r="F33" s="119" t="s">
        <v>1076</v>
      </c>
    </row>
    <row r="34" ht="22.5" customHeight="1">
      <c r="A34" s="117">
        <v>45840.43532520834</v>
      </c>
      <c r="B34" s="118">
        <v>45831.0</v>
      </c>
      <c r="C34" s="119" t="s">
        <v>260</v>
      </c>
      <c r="D34" s="119">
        <v>0.07</v>
      </c>
      <c r="E34" s="119" t="s">
        <v>1073</v>
      </c>
      <c r="F34" s="119" t="s">
        <v>1079</v>
      </c>
    </row>
    <row r="35" ht="22.5" customHeight="1">
      <c r="A35" s="117">
        <v>45840.435878819444</v>
      </c>
      <c r="B35" s="118">
        <v>45831.0</v>
      </c>
      <c r="C35" s="119" t="s">
        <v>108</v>
      </c>
      <c r="D35" s="119">
        <v>0.5</v>
      </c>
      <c r="E35" s="119" t="s">
        <v>1073</v>
      </c>
      <c r="F35" s="119" t="s">
        <v>1078</v>
      </c>
    </row>
    <row r="36" ht="22.5" customHeight="1">
      <c r="A36" s="117">
        <v>45840.4362266088</v>
      </c>
      <c r="B36" s="118">
        <v>45831.0</v>
      </c>
      <c r="C36" s="119" t="s">
        <v>25</v>
      </c>
      <c r="D36" s="119">
        <v>0.25</v>
      </c>
      <c r="E36" s="119" t="s">
        <v>1073</v>
      </c>
      <c r="F36" s="119" t="s">
        <v>1078</v>
      </c>
    </row>
    <row r="37" ht="22.5" customHeight="1">
      <c r="A37" s="117">
        <v>45840.4366075</v>
      </c>
      <c r="B37" s="118">
        <v>45832.0</v>
      </c>
      <c r="C37" s="119" t="s">
        <v>260</v>
      </c>
      <c r="D37" s="119">
        <v>0.06</v>
      </c>
      <c r="E37" s="119" t="s">
        <v>1073</v>
      </c>
      <c r="F37" s="119" t="s">
        <v>1079</v>
      </c>
    </row>
    <row r="38" ht="22.5" customHeight="1">
      <c r="A38" s="117">
        <v>45840.436906296294</v>
      </c>
      <c r="B38" s="118">
        <v>45832.0</v>
      </c>
      <c r="C38" s="119" t="s">
        <v>108</v>
      </c>
      <c r="D38" s="119">
        <v>0.5</v>
      </c>
      <c r="E38" s="119" t="s">
        <v>1073</v>
      </c>
      <c r="F38" s="119" t="s">
        <v>1078</v>
      </c>
    </row>
    <row r="39" ht="22.5" customHeight="1">
      <c r="A39" s="117">
        <v>45840.43720969907</v>
      </c>
      <c r="B39" s="118">
        <v>45832.0</v>
      </c>
      <c r="C39" s="119" t="s">
        <v>25</v>
      </c>
      <c r="D39" s="119">
        <v>0.25</v>
      </c>
      <c r="E39" s="119" t="s">
        <v>1073</v>
      </c>
      <c r="F39" s="119" t="s">
        <v>1078</v>
      </c>
    </row>
    <row r="40" ht="22.5" customHeight="1">
      <c r="A40" s="117">
        <v>45840.43771914352</v>
      </c>
      <c r="B40" s="118">
        <v>45833.0</v>
      </c>
      <c r="C40" s="119" t="s">
        <v>108</v>
      </c>
      <c r="D40" s="119">
        <v>0.5</v>
      </c>
      <c r="E40" s="119" t="s">
        <v>1073</v>
      </c>
      <c r="F40" s="119" t="s">
        <v>1078</v>
      </c>
    </row>
    <row r="41" ht="22.5" customHeight="1">
      <c r="A41" s="117">
        <v>45840.4382974537</v>
      </c>
      <c r="B41" s="118">
        <v>45834.0</v>
      </c>
      <c r="C41" s="119" t="s">
        <v>52</v>
      </c>
      <c r="D41" s="119">
        <v>10.0</v>
      </c>
      <c r="E41" s="119" t="s">
        <v>1073</v>
      </c>
      <c r="F41" s="119" t="s">
        <v>1079</v>
      </c>
    </row>
    <row r="42" ht="22.5" customHeight="1">
      <c r="A42" s="117">
        <v>45840.438692129625</v>
      </c>
      <c r="B42" s="118">
        <v>45834.0</v>
      </c>
      <c r="C42" s="119" t="s">
        <v>831</v>
      </c>
      <c r="D42" s="119">
        <v>6.0</v>
      </c>
      <c r="E42" s="119" t="s">
        <v>687</v>
      </c>
      <c r="F42" s="119" t="s">
        <v>1078</v>
      </c>
    </row>
    <row r="43" ht="22.5" customHeight="1">
      <c r="A43" s="117">
        <v>45840.48061086806</v>
      </c>
      <c r="B43" s="118">
        <v>45831.0</v>
      </c>
      <c r="C43" s="119" t="s">
        <v>811</v>
      </c>
      <c r="D43" s="119">
        <v>15.0</v>
      </c>
      <c r="E43" s="119" t="s">
        <v>687</v>
      </c>
      <c r="F43" s="119" t="s">
        <v>1077</v>
      </c>
    </row>
    <row r="44" ht="22.5" customHeight="1">
      <c r="A44" s="117">
        <v>45840.4810665625</v>
      </c>
      <c r="B44" s="118">
        <v>45831.0</v>
      </c>
      <c r="C44" s="119" t="s">
        <v>769</v>
      </c>
      <c r="D44" s="119">
        <v>15.0</v>
      </c>
      <c r="E44" s="119" t="s">
        <v>687</v>
      </c>
      <c r="F44" s="119" t="s">
        <v>1077</v>
      </c>
    </row>
    <row r="45" ht="22.5" customHeight="1">
      <c r="A45" s="117">
        <v>45840.48156671296</v>
      </c>
      <c r="B45" s="118">
        <v>45831.0</v>
      </c>
      <c r="C45" s="119" t="s">
        <v>745</v>
      </c>
      <c r="D45" s="119">
        <v>15.0</v>
      </c>
      <c r="E45" s="119" t="s">
        <v>687</v>
      </c>
      <c r="F45" s="119" t="s">
        <v>1077</v>
      </c>
    </row>
    <row r="46" ht="22.5" customHeight="1">
      <c r="A46" s="117">
        <v>45840.482183472224</v>
      </c>
      <c r="B46" s="118">
        <v>45832.0</v>
      </c>
      <c r="C46" s="119" t="s">
        <v>798</v>
      </c>
      <c r="D46" s="119">
        <v>35.0</v>
      </c>
      <c r="E46" s="119" t="s">
        <v>687</v>
      </c>
      <c r="F46" s="119" t="s">
        <v>1077</v>
      </c>
    </row>
    <row r="47" ht="22.5" customHeight="1">
      <c r="A47" s="117">
        <v>45853.578614259255</v>
      </c>
      <c r="B47" s="118">
        <v>45847.0</v>
      </c>
      <c r="C47" s="119" t="s">
        <v>882</v>
      </c>
      <c r="D47" s="119">
        <v>10.0</v>
      </c>
      <c r="E47" s="119" t="s">
        <v>687</v>
      </c>
      <c r="F47" s="119" t="s">
        <v>1079</v>
      </c>
    </row>
    <row r="48" ht="22.5" customHeight="1">
      <c r="A48" s="117">
        <v>45853.57928005787</v>
      </c>
      <c r="B48" s="118">
        <v>45848.0</v>
      </c>
      <c r="C48" s="119" t="s">
        <v>882</v>
      </c>
      <c r="D48" s="119">
        <v>10.0</v>
      </c>
      <c r="E48" s="119" t="s">
        <v>687</v>
      </c>
      <c r="F48" s="119" t="s">
        <v>1079</v>
      </c>
    </row>
    <row r="49" ht="22.5" customHeight="1">
      <c r="A49" s="117">
        <v>45853.57966221064</v>
      </c>
      <c r="B49" s="118">
        <v>45849.0</v>
      </c>
      <c r="C49" s="119" t="s">
        <v>239</v>
      </c>
      <c r="D49" s="119">
        <v>50.0</v>
      </c>
      <c r="E49" s="119" t="s">
        <v>1073</v>
      </c>
      <c r="F49" s="119" t="s">
        <v>1079</v>
      </c>
    </row>
    <row r="50" ht="22.5" customHeight="1">
      <c r="A50" s="117">
        <v>45853.58019707176</v>
      </c>
      <c r="B50" s="118">
        <v>45853.0</v>
      </c>
      <c r="C50" s="119" t="s">
        <v>184</v>
      </c>
      <c r="D50" s="119">
        <v>0.4</v>
      </c>
      <c r="E50" s="119" t="s">
        <v>1073</v>
      </c>
      <c r="F50" s="119" t="s">
        <v>1079</v>
      </c>
    </row>
    <row r="51" ht="22.5" customHeight="1">
      <c r="A51" s="117">
        <v>45853.58161731482</v>
      </c>
      <c r="B51" s="118">
        <v>45853.0</v>
      </c>
      <c r="C51" s="119" t="s">
        <v>225</v>
      </c>
      <c r="D51" s="119">
        <v>0.28</v>
      </c>
      <c r="E51" s="119" t="s">
        <v>1073</v>
      </c>
      <c r="F51" s="119" t="s">
        <v>1079</v>
      </c>
    </row>
    <row r="52" ht="22.5" customHeight="1">
      <c r="A52" s="117">
        <v>45854.32349054398</v>
      </c>
      <c r="B52" s="118">
        <v>45845.0</v>
      </c>
      <c r="C52" s="119" t="s">
        <v>305</v>
      </c>
      <c r="D52" s="119">
        <v>1.0</v>
      </c>
      <c r="E52" s="119" t="s">
        <v>1073</v>
      </c>
      <c r="F52" s="119" t="s">
        <v>1080</v>
      </c>
    </row>
    <row r="53" ht="22.5" customHeight="1">
      <c r="A53" s="117">
        <v>45854.324524131946</v>
      </c>
      <c r="B53" s="118">
        <v>45849.0</v>
      </c>
      <c r="C53" s="119" t="s">
        <v>25</v>
      </c>
      <c r="D53" s="119">
        <v>0.1</v>
      </c>
      <c r="E53" s="119" t="s">
        <v>1073</v>
      </c>
      <c r="F53" s="119" t="s">
        <v>1080</v>
      </c>
    </row>
    <row r="54" ht="22.5" customHeight="1">
      <c r="A54" s="117">
        <v>45854.32513542824</v>
      </c>
      <c r="B54" s="118">
        <v>45849.0</v>
      </c>
      <c r="C54" s="119" t="s">
        <v>305</v>
      </c>
      <c r="D54" s="119">
        <v>0.5</v>
      </c>
      <c r="E54" s="119" t="s">
        <v>1073</v>
      </c>
      <c r="F54" s="119" t="s">
        <v>1080</v>
      </c>
    </row>
    <row r="55" ht="22.5" customHeight="1">
      <c r="A55" s="117">
        <v>45854.326021747685</v>
      </c>
      <c r="B55" s="118">
        <v>45845.0</v>
      </c>
      <c r="C55" s="119" t="s">
        <v>823</v>
      </c>
      <c r="D55" s="119">
        <v>10.0</v>
      </c>
      <c r="E55" s="119" t="s">
        <v>687</v>
      </c>
      <c r="F55" s="119" t="s">
        <v>1080</v>
      </c>
    </row>
    <row r="56" ht="22.5" customHeight="1">
      <c r="A56" s="117">
        <v>45854.3265378125</v>
      </c>
      <c r="B56" s="118">
        <v>45849.0</v>
      </c>
      <c r="C56" s="119" t="s">
        <v>823</v>
      </c>
      <c r="D56" s="119">
        <v>5.0</v>
      </c>
      <c r="E56" s="119" t="s">
        <v>687</v>
      </c>
      <c r="F56" s="119" t="s">
        <v>1080</v>
      </c>
    </row>
    <row r="57" ht="22.5" customHeight="1">
      <c r="A57" s="117">
        <v>45854.33146479167</v>
      </c>
      <c r="B57" s="118">
        <v>45849.0</v>
      </c>
      <c r="C57" s="119" t="s">
        <v>260</v>
      </c>
      <c r="D57" s="122">
        <v>0.0616</v>
      </c>
      <c r="E57" s="119" t="s">
        <v>1073</v>
      </c>
      <c r="F57" s="119" t="s">
        <v>1080</v>
      </c>
    </row>
    <row r="58" ht="22.5" customHeight="1">
      <c r="A58" s="117">
        <v>45854.432710636574</v>
      </c>
      <c r="B58" s="118">
        <v>45852.0</v>
      </c>
      <c r="C58" s="119" t="s">
        <v>837</v>
      </c>
      <c r="D58" s="119">
        <v>60.0</v>
      </c>
      <c r="E58" s="119" t="s">
        <v>687</v>
      </c>
      <c r="F58" s="119" t="s">
        <v>1076</v>
      </c>
    </row>
    <row r="59" ht="22.5" customHeight="1">
      <c r="A59" s="117">
        <v>45854.43272020834</v>
      </c>
      <c r="B59" s="118">
        <v>45854.0</v>
      </c>
      <c r="C59" s="119" t="s">
        <v>882</v>
      </c>
      <c r="D59" s="119">
        <v>10.0</v>
      </c>
      <c r="E59" s="119" t="s">
        <v>687</v>
      </c>
      <c r="F59" s="119" t="s">
        <v>1079</v>
      </c>
    </row>
    <row r="60" ht="22.5" customHeight="1">
      <c r="A60" s="117">
        <v>45854.434876354164</v>
      </c>
      <c r="B60" s="118">
        <v>45853.0</v>
      </c>
      <c r="C60" s="119" t="s">
        <v>25</v>
      </c>
      <c r="D60" s="119">
        <v>0.1</v>
      </c>
      <c r="E60" s="119" t="s">
        <v>1073</v>
      </c>
      <c r="F60" s="119" t="s">
        <v>1076</v>
      </c>
    </row>
    <row r="61" ht="22.5" customHeight="1">
      <c r="A61" s="117">
        <v>45854.43544324074</v>
      </c>
      <c r="B61" s="118">
        <v>45853.0</v>
      </c>
      <c r="C61" s="119" t="s">
        <v>305</v>
      </c>
      <c r="D61" s="119">
        <v>1.0</v>
      </c>
      <c r="E61" s="119" t="s">
        <v>1073</v>
      </c>
      <c r="F61" s="119" t="s">
        <v>1076</v>
      </c>
    </row>
    <row r="62" ht="22.5" customHeight="1">
      <c r="A62" s="117">
        <v>45854.43582694445</v>
      </c>
      <c r="B62" s="118">
        <v>45854.0</v>
      </c>
      <c r="C62" s="119" t="s">
        <v>155</v>
      </c>
      <c r="D62" s="119">
        <v>1.0</v>
      </c>
      <c r="E62" s="119" t="s">
        <v>1073</v>
      </c>
      <c r="F62" s="119" t="s">
        <v>1079</v>
      </c>
    </row>
    <row r="63" ht="22.5" customHeight="1">
      <c r="A63" s="117">
        <v>45854.45348993056</v>
      </c>
      <c r="B63" s="118">
        <v>45853.0</v>
      </c>
      <c r="C63" s="119" t="s">
        <v>875</v>
      </c>
      <c r="D63" s="119">
        <v>10.0</v>
      </c>
      <c r="E63" s="119" t="s">
        <v>687</v>
      </c>
      <c r="F63" s="119" t="s">
        <v>1076</v>
      </c>
    </row>
    <row r="64" ht="22.5" customHeight="1">
      <c r="A64" s="117">
        <v>45854.45519846065</v>
      </c>
      <c r="B64" s="118">
        <v>45849.0</v>
      </c>
      <c r="C64" s="119" t="s">
        <v>184</v>
      </c>
      <c r="D64" s="119">
        <v>130.0</v>
      </c>
      <c r="E64" s="119" t="s">
        <v>1073</v>
      </c>
      <c r="F64" s="119" t="s">
        <v>1076</v>
      </c>
    </row>
    <row r="65" ht="22.5" customHeight="1">
      <c r="A65" s="117">
        <v>45854.45571974537</v>
      </c>
      <c r="B65" s="118">
        <v>45849.0</v>
      </c>
      <c r="C65" s="119" t="s">
        <v>324</v>
      </c>
      <c r="D65" s="119">
        <v>17.0</v>
      </c>
      <c r="E65" s="119" t="s">
        <v>1073</v>
      </c>
      <c r="F65" s="119" t="s">
        <v>1076</v>
      </c>
    </row>
    <row r="66" ht="22.5" customHeight="1">
      <c r="A66" s="117">
        <v>45854.45649675926</v>
      </c>
      <c r="B66" s="118">
        <v>45849.0</v>
      </c>
      <c r="C66" s="119" t="s">
        <v>875</v>
      </c>
      <c r="D66" s="119">
        <v>10.0</v>
      </c>
      <c r="E66" s="119" t="s">
        <v>687</v>
      </c>
      <c r="F66" s="119" t="s">
        <v>1076</v>
      </c>
    </row>
    <row r="67" ht="22.5" customHeight="1">
      <c r="A67" s="117">
        <v>45854.45691662037</v>
      </c>
      <c r="B67" s="118">
        <v>45849.0</v>
      </c>
      <c r="C67" s="119" t="s">
        <v>305</v>
      </c>
      <c r="D67" s="119">
        <v>1.0</v>
      </c>
      <c r="E67" s="119" t="s">
        <v>1073</v>
      </c>
      <c r="F67" s="119" t="s">
        <v>1076</v>
      </c>
    </row>
    <row r="68" ht="22.5" customHeight="1">
      <c r="A68" s="117">
        <v>45854.457349652774</v>
      </c>
      <c r="B68" s="118">
        <v>45849.0</v>
      </c>
      <c r="C68" s="119" t="s">
        <v>25</v>
      </c>
      <c r="D68" s="119">
        <v>0.1</v>
      </c>
      <c r="E68" s="119" t="s">
        <v>1073</v>
      </c>
      <c r="F68" s="119" t="s">
        <v>1076</v>
      </c>
    </row>
    <row r="69" ht="22.5" customHeight="1">
      <c r="A69" s="117">
        <v>45854.45855144676</v>
      </c>
      <c r="B69" s="118">
        <v>45848.0</v>
      </c>
      <c r="C69" s="119" t="s">
        <v>184</v>
      </c>
      <c r="D69" s="119">
        <v>39.0</v>
      </c>
      <c r="E69" s="119" t="s">
        <v>1073</v>
      </c>
      <c r="F69" s="119" t="s">
        <v>1076</v>
      </c>
    </row>
    <row r="70" ht="22.5" customHeight="1">
      <c r="A70" s="117">
        <v>45854.459061747686</v>
      </c>
      <c r="B70" s="118">
        <v>45848.0</v>
      </c>
      <c r="C70" s="119" t="s">
        <v>324</v>
      </c>
      <c r="D70" s="119">
        <v>5.1</v>
      </c>
      <c r="E70" s="119" t="s">
        <v>1073</v>
      </c>
      <c r="F70" s="119" t="s">
        <v>1076</v>
      </c>
    </row>
    <row r="71" ht="22.5" customHeight="1">
      <c r="A71" s="117">
        <v>45854.45968443287</v>
      </c>
      <c r="B71" s="118">
        <v>45848.0</v>
      </c>
      <c r="C71" s="119" t="s">
        <v>875</v>
      </c>
      <c r="D71" s="119">
        <v>15.0</v>
      </c>
      <c r="E71" s="119" t="s">
        <v>687</v>
      </c>
      <c r="F71" s="119" t="s">
        <v>1076</v>
      </c>
    </row>
    <row r="72" ht="22.5" customHeight="1">
      <c r="A72" s="117">
        <v>45854.46021072917</v>
      </c>
      <c r="B72" s="118">
        <v>45848.0</v>
      </c>
      <c r="C72" s="119" t="s">
        <v>305</v>
      </c>
      <c r="D72" s="119">
        <v>1.5</v>
      </c>
      <c r="E72" s="119" t="s">
        <v>1073</v>
      </c>
      <c r="F72" s="119" t="s">
        <v>1076</v>
      </c>
    </row>
    <row r="73" ht="22.5" customHeight="1">
      <c r="A73" s="117">
        <v>45854.4607396875</v>
      </c>
      <c r="B73" s="118">
        <v>45848.0</v>
      </c>
      <c r="C73" s="119" t="s">
        <v>25</v>
      </c>
      <c r="D73" s="119">
        <v>0.15</v>
      </c>
      <c r="E73" s="119" t="s">
        <v>1073</v>
      </c>
      <c r="F73" s="119" t="s">
        <v>1076</v>
      </c>
    </row>
    <row r="74" ht="22.5" customHeight="1">
      <c r="A74" s="117">
        <v>45854.46214469908</v>
      </c>
      <c r="B74" s="118">
        <v>45845.0</v>
      </c>
      <c r="C74" s="119" t="s">
        <v>142</v>
      </c>
      <c r="D74" s="119">
        <v>0.772</v>
      </c>
      <c r="E74" s="119" t="s">
        <v>1073</v>
      </c>
      <c r="F74" s="119" t="s">
        <v>1076</v>
      </c>
    </row>
    <row r="75" ht="22.5" customHeight="1">
      <c r="A75" s="117">
        <v>45854.46266127315</v>
      </c>
      <c r="B75" s="118">
        <v>45845.0</v>
      </c>
      <c r="C75" s="119" t="s">
        <v>823</v>
      </c>
      <c r="D75" s="119">
        <v>50.0</v>
      </c>
      <c r="E75" s="119" t="s">
        <v>687</v>
      </c>
      <c r="F75" s="119" t="s">
        <v>1076</v>
      </c>
    </row>
    <row r="76" ht="22.5" customHeight="1">
      <c r="A76" s="117">
        <v>45854.46382625</v>
      </c>
      <c r="B76" s="118">
        <v>45845.0</v>
      </c>
      <c r="C76" s="119" t="s">
        <v>52</v>
      </c>
      <c r="D76" s="119">
        <v>10.0</v>
      </c>
      <c r="E76" s="119" t="s">
        <v>1073</v>
      </c>
      <c r="F76" s="119" t="s">
        <v>1076</v>
      </c>
    </row>
    <row r="77" ht="22.5" customHeight="1">
      <c r="A77" s="117">
        <v>45854.46471252315</v>
      </c>
      <c r="B77" s="118">
        <v>45845.0</v>
      </c>
      <c r="C77" s="119" t="s">
        <v>184</v>
      </c>
      <c r="D77" s="119">
        <v>26.0</v>
      </c>
      <c r="E77" s="119" t="s">
        <v>1073</v>
      </c>
      <c r="F77" s="119" t="s">
        <v>1076</v>
      </c>
    </row>
    <row r="78" ht="22.5" customHeight="1">
      <c r="A78" s="117">
        <v>45854.46524822917</v>
      </c>
      <c r="B78" s="118">
        <v>45845.0</v>
      </c>
      <c r="C78" s="119" t="s">
        <v>324</v>
      </c>
      <c r="D78" s="119">
        <v>3.4</v>
      </c>
      <c r="E78" s="119" t="s">
        <v>1073</v>
      </c>
      <c r="F78" s="119" t="s">
        <v>1076</v>
      </c>
    </row>
    <row r="79" ht="22.5" customHeight="1">
      <c r="A79" s="117">
        <v>45854.46582011574</v>
      </c>
      <c r="B79" s="118">
        <v>45845.0</v>
      </c>
      <c r="C79" s="119" t="s">
        <v>875</v>
      </c>
      <c r="D79" s="119">
        <v>10.0</v>
      </c>
      <c r="E79" s="119" t="s">
        <v>687</v>
      </c>
      <c r="F79" s="119" t="s">
        <v>1076</v>
      </c>
    </row>
    <row r="80" ht="22.5" customHeight="1">
      <c r="A80" s="117">
        <v>45854.466275370374</v>
      </c>
      <c r="B80" s="118">
        <v>45845.0</v>
      </c>
      <c r="C80" s="119" t="s">
        <v>305</v>
      </c>
      <c r="D80" s="119">
        <v>1.0</v>
      </c>
      <c r="E80" s="119" t="s">
        <v>1073</v>
      </c>
      <c r="F80" s="119" t="s">
        <v>1076</v>
      </c>
    </row>
    <row r="81" ht="22.5" customHeight="1">
      <c r="A81" s="117">
        <v>45854.46660871527</v>
      </c>
      <c r="B81" s="118">
        <v>45845.0</v>
      </c>
      <c r="C81" s="119" t="s">
        <v>25</v>
      </c>
      <c r="D81" s="119">
        <v>0.1</v>
      </c>
      <c r="E81" s="119" t="s">
        <v>1073</v>
      </c>
      <c r="F81" s="119" t="s">
        <v>1076</v>
      </c>
    </row>
    <row r="82" ht="22.5" customHeight="1">
      <c r="A82" s="117">
        <v>45854.46698815972</v>
      </c>
      <c r="B82" s="118">
        <v>45845.0</v>
      </c>
      <c r="C82" s="119" t="s">
        <v>850</v>
      </c>
      <c r="D82" s="119">
        <v>4.0</v>
      </c>
      <c r="E82" s="119" t="s">
        <v>687</v>
      </c>
      <c r="F82" s="119" t="s">
        <v>1076</v>
      </c>
    </row>
    <row r="83" ht="22.5" customHeight="1">
      <c r="A83" s="117">
        <v>45854.46836697917</v>
      </c>
      <c r="B83" s="118">
        <v>45846.0</v>
      </c>
      <c r="C83" s="119" t="s">
        <v>184</v>
      </c>
      <c r="D83" s="119">
        <v>13.0</v>
      </c>
      <c r="E83" s="119" t="s">
        <v>1073</v>
      </c>
      <c r="F83" s="119" t="s">
        <v>1076</v>
      </c>
    </row>
    <row r="84" ht="22.5" customHeight="1">
      <c r="A84" s="117">
        <v>45854.468716979165</v>
      </c>
      <c r="B84" s="118">
        <v>45846.0</v>
      </c>
      <c r="C84" s="119" t="s">
        <v>324</v>
      </c>
      <c r="D84" s="119">
        <v>1.7</v>
      </c>
      <c r="E84" s="119" t="s">
        <v>1073</v>
      </c>
      <c r="F84" s="119" t="s">
        <v>1076</v>
      </c>
    </row>
    <row r="85" ht="22.5" customHeight="1">
      <c r="A85" s="117">
        <v>45854.46925123842</v>
      </c>
      <c r="B85" s="118">
        <v>45847.0</v>
      </c>
      <c r="C85" s="119" t="s">
        <v>184</v>
      </c>
      <c r="D85" s="119">
        <v>13.0</v>
      </c>
      <c r="E85" s="119" t="s">
        <v>1073</v>
      </c>
      <c r="F85" s="119" t="s">
        <v>1076</v>
      </c>
    </row>
    <row r="86" ht="22.5" customHeight="1">
      <c r="A86" s="117">
        <v>45854.46989266203</v>
      </c>
      <c r="B86" s="118">
        <v>45847.0</v>
      </c>
      <c r="C86" s="119" t="s">
        <v>324</v>
      </c>
      <c r="D86" s="119">
        <v>1.7</v>
      </c>
      <c r="E86" s="119" t="s">
        <v>1073</v>
      </c>
      <c r="F86" s="119" t="s">
        <v>1076</v>
      </c>
    </row>
    <row r="87" ht="22.5" customHeight="1">
      <c r="A87" s="117">
        <v>45854.47027460649</v>
      </c>
      <c r="B87" s="118">
        <v>45847.0</v>
      </c>
      <c r="C87" s="119" t="s">
        <v>875</v>
      </c>
      <c r="D87" s="119">
        <v>10.0</v>
      </c>
      <c r="E87" s="119" t="s">
        <v>687</v>
      </c>
      <c r="F87" s="119" t="s">
        <v>1076</v>
      </c>
    </row>
    <row r="88" ht="22.5" customHeight="1">
      <c r="A88" s="117">
        <v>45854.47066245371</v>
      </c>
      <c r="B88" s="118">
        <v>45847.0</v>
      </c>
      <c r="C88" s="119" t="s">
        <v>305</v>
      </c>
      <c r="D88" s="119">
        <v>1.0</v>
      </c>
      <c r="E88" s="119" t="s">
        <v>1073</v>
      </c>
      <c r="F88" s="119" t="s">
        <v>1076</v>
      </c>
    </row>
    <row r="89" ht="22.5" customHeight="1">
      <c r="A89" s="117">
        <v>45854.4710255324</v>
      </c>
      <c r="B89" s="118">
        <v>45847.0</v>
      </c>
      <c r="C89" s="119" t="s">
        <v>25</v>
      </c>
      <c r="D89" s="119">
        <v>0.1</v>
      </c>
      <c r="E89" s="119" t="s">
        <v>1073</v>
      </c>
      <c r="F89" s="119" t="s">
        <v>1076</v>
      </c>
    </row>
    <row r="90" ht="22.5" customHeight="1">
      <c r="A90" s="117">
        <v>45854.623848483796</v>
      </c>
      <c r="B90" s="118">
        <v>46403.0</v>
      </c>
      <c r="C90" s="119" t="s">
        <v>882</v>
      </c>
      <c r="D90" s="119">
        <v>10.0</v>
      </c>
      <c r="E90" s="119" t="s">
        <v>687</v>
      </c>
      <c r="F90" s="119" t="s">
        <v>1079</v>
      </c>
    </row>
    <row r="91" ht="22.5" customHeight="1">
      <c r="A91" s="117">
        <v>45854.6258375</v>
      </c>
      <c r="B91" s="118">
        <v>45854.0</v>
      </c>
      <c r="C91" s="119" t="s">
        <v>170</v>
      </c>
      <c r="D91" s="119">
        <v>6.0</v>
      </c>
      <c r="E91" s="119" t="s">
        <v>1073</v>
      </c>
      <c r="F91" s="119" t="s">
        <v>1079</v>
      </c>
    </row>
    <row r="92" ht="22.5" customHeight="1">
      <c r="A92" s="117">
        <v>45854.626233877316</v>
      </c>
      <c r="B92" s="118">
        <v>45854.0</v>
      </c>
      <c r="C92" s="119" t="s">
        <v>892</v>
      </c>
      <c r="D92" s="119">
        <v>50.0</v>
      </c>
      <c r="E92" s="119" t="s">
        <v>687</v>
      </c>
      <c r="F92" s="119" t="s">
        <v>1079</v>
      </c>
    </row>
    <row r="93" ht="22.5" customHeight="1">
      <c r="A93" s="117">
        <v>45856.69459240741</v>
      </c>
      <c r="B93" s="118">
        <v>45845.0</v>
      </c>
      <c r="C93" s="119" t="s">
        <v>31</v>
      </c>
      <c r="D93" s="119">
        <v>25.0</v>
      </c>
      <c r="E93" s="119" t="s">
        <v>1073</v>
      </c>
      <c r="F93" s="119" t="s">
        <v>1076</v>
      </c>
    </row>
    <row r="94" ht="22.5" customHeight="1">
      <c r="A94" s="117">
        <v>45868.27984894676</v>
      </c>
      <c r="B94" s="118">
        <v>45867.0</v>
      </c>
      <c r="C94" s="119" t="s">
        <v>59</v>
      </c>
      <c r="D94" s="119">
        <v>60.0</v>
      </c>
      <c r="E94" s="119" t="s">
        <v>1073</v>
      </c>
      <c r="F94" s="119" t="s">
        <v>1079</v>
      </c>
    </row>
    <row r="95" ht="22.5" customHeight="1">
      <c r="A95" s="117">
        <v>45868.29457467592</v>
      </c>
      <c r="B95" s="118">
        <v>45867.0</v>
      </c>
      <c r="C95" s="119" t="s">
        <v>246</v>
      </c>
      <c r="D95" s="119">
        <v>10.0</v>
      </c>
      <c r="E95" s="119" t="s">
        <v>1073</v>
      </c>
      <c r="F95" s="119" t="s">
        <v>1079</v>
      </c>
    </row>
    <row r="96" ht="22.5" customHeight="1">
      <c r="A96" s="117">
        <v>45868.29502679398</v>
      </c>
      <c r="B96" s="118">
        <v>45867.0</v>
      </c>
      <c r="C96" s="119" t="s">
        <v>142</v>
      </c>
      <c r="D96" s="119">
        <v>2.0</v>
      </c>
      <c r="E96" s="119" t="s">
        <v>1073</v>
      </c>
      <c r="F96" s="119" t="s">
        <v>1079</v>
      </c>
    </row>
    <row r="97" ht="22.5" customHeight="1">
      <c r="A97" s="117">
        <v>45868.29578748843</v>
      </c>
      <c r="B97" s="118">
        <v>45867.0</v>
      </c>
      <c r="C97" s="119" t="s">
        <v>331</v>
      </c>
      <c r="D97" s="122">
        <v>1.0</v>
      </c>
      <c r="E97" s="119" t="s">
        <v>1073</v>
      </c>
      <c r="F97" s="119" t="s">
        <v>1079</v>
      </c>
    </row>
    <row r="98" ht="22.5" customHeight="1">
      <c r="A98" s="117">
        <v>45868.29712447917</v>
      </c>
      <c r="B98" s="118">
        <v>45867.0</v>
      </c>
      <c r="C98" s="119" t="s">
        <v>862</v>
      </c>
      <c r="D98" s="119">
        <v>40.0</v>
      </c>
      <c r="E98" s="119" t="s">
        <v>687</v>
      </c>
      <c r="F98" s="119" t="s">
        <v>1079</v>
      </c>
    </row>
    <row r="99" ht="22.5" customHeight="1">
      <c r="A99" s="117">
        <v>45868.4239432176</v>
      </c>
      <c r="B99" s="118">
        <v>45868.0</v>
      </c>
      <c r="C99" s="119" t="s">
        <v>331</v>
      </c>
      <c r="D99" s="119">
        <v>0.15</v>
      </c>
      <c r="E99" s="119" t="s">
        <v>1073</v>
      </c>
      <c r="F99" s="119" t="s">
        <v>1079</v>
      </c>
    </row>
    <row r="100" ht="22.5" customHeight="1">
      <c r="A100" s="117">
        <v>45868.425019780094</v>
      </c>
      <c r="B100" s="118">
        <v>45867.0</v>
      </c>
      <c r="C100" s="119" t="s">
        <v>798</v>
      </c>
      <c r="D100" s="119">
        <v>0.5</v>
      </c>
      <c r="E100" s="119" t="s">
        <v>687</v>
      </c>
      <c r="F100" s="119" t="s">
        <v>1079</v>
      </c>
    </row>
    <row r="101" ht="22.5" customHeight="1">
      <c r="A101" s="117">
        <v>45868.42636479167</v>
      </c>
      <c r="B101" s="118">
        <v>45866.0</v>
      </c>
      <c r="C101" s="119" t="s">
        <v>798</v>
      </c>
      <c r="D101" s="119">
        <v>27.0</v>
      </c>
      <c r="E101" s="119" t="s">
        <v>687</v>
      </c>
      <c r="F101" s="119" t="s">
        <v>1079</v>
      </c>
    </row>
    <row r="102" ht="22.5" customHeight="1">
      <c r="A102" s="117">
        <v>45868.42681107639</v>
      </c>
      <c r="B102" s="118">
        <v>45868.0</v>
      </c>
      <c r="C102" s="119" t="s">
        <v>862</v>
      </c>
      <c r="D102" s="119">
        <v>27.0</v>
      </c>
      <c r="E102" s="119" t="s">
        <v>687</v>
      </c>
      <c r="F102" s="119" t="s">
        <v>1079</v>
      </c>
    </row>
    <row r="103" ht="22.5" customHeight="1">
      <c r="A103" s="117">
        <v>45868.5293937963</v>
      </c>
      <c r="B103" s="118">
        <v>45866.0</v>
      </c>
      <c r="C103" s="119" t="s">
        <v>108</v>
      </c>
      <c r="D103" s="119">
        <v>1.0</v>
      </c>
      <c r="E103" s="119" t="s">
        <v>1073</v>
      </c>
      <c r="F103" s="119" t="s">
        <v>1077</v>
      </c>
    </row>
    <row r="104" ht="22.5" customHeight="1">
      <c r="A104" s="117">
        <v>45868.529955405094</v>
      </c>
      <c r="B104" s="118">
        <v>45866.0</v>
      </c>
      <c r="C104" s="119" t="s">
        <v>25</v>
      </c>
      <c r="D104" s="119">
        <v>0.1</v>
      </c>
      <c r="E104" s="119" t="s">
        <v>1073</v>
      </c>
      <c r="F104" s="119" t="s">
        <v>1077</v>
      </c>
    </row>
    <row r="105" ht="22.5" customHeight="1">
      <c r="A105" s="117">
        <v>45868.530421840274</v>
      </c>
      <c r="B105" s="118">
        <v>45866.0</v>
      </c>
      <c r="C105" s="119" t="s">
        <v>18</v>
      </c>
      <c r="D105" s="119">
        <v>1.916</v>
      </c>
      <c r="E105" s="119" t="s">
        <v>1073</v>
      </c>
      <c r="F105" s="119" t="s">
        <v>1077</v>
      </c>
    </row>
    <row r="106" ht="22.5" customHeight="1">
      <c r="A106" s="117">
        <v>45868.53088236111</v>
      </c>
      <c r="B106" s="118">
        <v>45866.0</v>
      </c>
      <c r="C106" s="119" t="s">
        <v>218</v>
      </c>
      <c r="D106" s="119">
        <v>0.133</v>
      </c>
      <c r="E106" s="119" t="s">
        <v>1073</v>
      </c>
      <c r="F106" s="119" t="s">
        <v>1077</v>
      </c>
    </row>
    <row r="107" ht="22.5" customHeight="1">
      <c r="A107" s="117">
        <v>45868.531250914355</v>
      </c>
      <c r="B107" s="118">
        <v>45867.0</v>
      </c>
      <c r="C107" s="119" t="s">
        <v>155</v>
      </c>
      <c r="D107" s="119">
        <v>10.0</v>
      </c>
      <c r="E107" s="119" t="s">
        <v>1073</v>
      </c>
      <c r="F107" s="119" t="s">
        <v>1077</v>
      </c>
    </row>
    <row r="108" ht="22.5" customHeight="1">
      <c r="A108" s="117">
        <v>45868.53216287037</v>
      </c>
      <c r="B108" s="118">
        <v>45867.0</v>
      </c>
      <c r="C108" s="119" t="s">
        <v>239</v>
      </c>
      <c r="D108" s="119">
        <v>200.0</v>
      </c>
      <c r="E108" s="119" t="s">
        <v>1073</v>
      </c>
      <c r="F108" s="119" t="s">
        <v>1077</v>
      </c>
    </row>
    <row r="109" ht="22.5" customHeight="1">
      <c r="A109" s="117">
        <v>45868.53259822917</v>
      </c>
      <c r="B109" s="118">
        <v>45867.0</v>
      </c>
      <c r="C109" s="119" t="s">
        <v>225</v>
      </c>
      <c r="D109" s="119">
        <v>1.0</v>
      </c>
      <c r="E109" s="119" t="s">
        <v>1073</v>
      </c>
      <c r="F109" s="119" t="s">
        <v>1077</v>
      </c>
    </row>
    <row r="110" ht="22.5" customHeight="1">
      <c r="A110" s="117">
        <v>45868.5330643287</v>
      </c>
      <c r="B110" s="118">
        <v>45867.0</v>
      </c>
      <c r="C110" s="119" t="s">
        <v>305</v>
      </c>
      <c r="D110" s="119">
        <v>0.0221</v>
      </c>
      <c r="E110" s="119" t="s">
        <v>1073</v>
      </c>
      <c r="F110" s="119" t="s">
        <v>1077</v>
      </c>
    </row>
    <row r="111" ht="22.5" customHeight="1">
      <c r="A111" s="117">
        <v>45868.53356978009</v>
      </c>
      <c r="B111" s="118">
        <v>45867.0</v>
      </c>
      <c r="C111" s="119" t="s">
        <v>823</v>
      </c>
      <c r="D111" s="119">
        <v>364.0</v>
      </c>
      <c r="E111" s="119" t="s">
        <v>687</v>
      </c>
      <c r="F111" s="119" t="s">
        <v>1077</v>
      </c>
    </row>
    <row r="112" ht="22.5" customHeight="1">
      <c r="A112" s="117">
        <v>45868.53417079861</v>
      </c>
      <c r="B112" s="118">
        <v>45868.0</v>
      </c>
      <c r="C112" s="119" t="s">
        <v>170</v>
      </c>
      <c r="D112" s="119">
        <v>12.0</v>
      </c>
      <c r="E112" s="119" t="s">
        <v>1073</v>
      </c>
      <c r="F112" s="119" t="s">
        <v>1077</v>
      </c>
    </row>
    <row r="113" ht="22.5" customHeight="1">
      <c r="A113" s="117">
        <v>45868.53462579861</v>
      </c>
      <c r="B113" s="118">
        <v>45868.0</v>
      </c>
      <c r="C113" s="119" t="s">
        <v>892</v>
      </c>
      <c r="D113" s="119">
        <v>90.0</v>
      </c>
      <c r="E113" s="119" t="s">
        <v>687</v>
      </c>
      <c r="F113" s="119" t="s">
        <v>1077</v>
      </c>
    </row>
    <row r="114" ht="22.5" customHeight="1">
      <c r="A114" s="117">
        <v>45868.8390440625</v>
      </c>
      <c r="B114" s="118">
        <v>45868.0</v>
      </c>
      <c r="C114" s="119" t="s">
        <v>184</v>
      </c>
      <c r="D114" s="119">
        <v>130.0</v>
      </c>
      <c r="E114" s="119" t="s">
        <v>1073</v>
      </c>
      <c r="F114" s="119" t="s">
        <v>1076</v>
      </c>
    </row>
    <row r="115" ht="22.5" customHeight="1">
      <c r="A115" s="117">
        <v>45868.83937267361</v>
      </c>
      <c r="B115" s="118">
        <v>45868.0</v>
      </c>
      <c r="C115" s="119" t="s">
        <v>324</v>
      </c>
      <c r="D115" s="119">
        <v>17.0</v>
      </c>
      <c r="E115" s="119" t="s">
        <v>1073</v>
      </c>
      <c r="F115" s="119" t="s">
        <v>1076</v>
      </c>
    </row>
    <row r="116" ht="22.5" customHeight="1">
      <c r="A116" s="117">
        <v>45868.83987412037</v>
      </c>
      <c r="B116" s="118">
        <v>45867.0</v>
      </c>
      <c r="C116" s="119" t="s">
        <v>305</v>
      </c>
      <c r="D116" s="119">
        <v>2.5</v>
      </c>
      <c r="E116" s="119" t="s">
        <v>1073</v>
      </c>
      <c r="F116" s="119" t="s">
        <v>1076</v>
      </c>
    </row>
    <row r="117" ht="22.5" customHeight="1">
      <c r="A117" s="117">
        <v>45868.841054502314</v>
      </c>
      <c r="B117" s="118">
        <v>45867.0</v>
      </c>
      <c r="C117" s="119" t="s">
        <v>823</v>
      </c>
      <c r="D117" s="119">
        <v>25.0</v>
      </c>
      <c r="E117" s="119" t="s">
        <v>687</v>
      </c>
      <c r="F117" s="119" t="s">
        <v>1076</v>
      </c>
    </row>
    <row r="118" ht="22.5" customHeight="1">
      <c r="A118" s="117">
        <v>45868.84146083333</v>
      </c>
      <c r="B118" s="118">
        <v>45866.0</v>
      </c>
      <c r="C118" s="119" t="s">
        <v>823</v>
      </c>
      <c r="D118" s="119">
        <v>25.0</v>
      </c>
      <c r="E118" s="119" t="s">
        <v>687</v>
      </c>
      <c r="F118" s="119" t="s">
        <v>1076</v>
      </c>
    </row>
    <row r="119" ht="22.5" customHeight="1">
      <c r="A119" s="117">
        <v>45868.84178769676</v>
      </c>
      <c r="B119" s="118">
        <v>45866.0</v>
      </c>
      <c r="C119" s="119" t="s">
        <v>850</v>
      </c>
      <c r="D119" s="119">
        <v>4.0</v>
      </c>
      <c r="E119" s="119" t="s">
        <v>687</v>
      </c>
      <c r="F119" s="119" t="s">
        <v>1076</v>
      </c>
    </row>
    <row r="120" ht="22.5" customHeight="1">
      <c r="A120" s="117">
        <v>45868.842663703705</v>
      </c>
      <c r="B120" s="118">
        <v>45866.0</v>
      </c>
      <c r="C120" s="119" t="s">
        <v>305</v>
      </c>
      <c r="D120" s="119">
        <v>3.5</v>
      </c>
      <c r="E120" s="119" t="s">
        <v>1073</v>
      </c>
      <c r="F120" s="119" t="s">
        <v>1076</v>
      </c>
    </row>
    <row r="121" ht="22.5" customHeight="1">
      <c r="A121" s="117">
        <v>45868.84322776621</v>
      </c>
      <c r="B121" s="118">
        <v>45866.0</v>
      </c>
      <c r="C121" s="119" t="s">
        <v>25</v>
      </c>
      <c r="D121" s="119">
        <v>0.35</v>
      </c>
      <c r="E121" s="119" t="s">
        <v>1073</v>
      </c>
      <c r="F121" s="119" t="s">
        <v>1076</v>
      </c>
    </row>
    <row r="122" ht="22.5" customHeight="1">
      <c r="A122" s="117">
        <v>45869.480666145835</v>
      </c>
      <c r="B122" s="118">
        <v>45868.0</v>
      </c>
      <c r="C122" s="119" t="s">
        <v>177</v>
      </c>
      <c r="D122" s="119">
        <v>2.5</v>
      </c>
      <c r="E122" s="119" t="s">
        <v>1073</v>
      </c>
      <c r="F122" s="119" t="s">
        <v>1079</v>
      </c>
    </row>
    <row r="123" ht="22.5" customHeight="1">
      <c r="A123" s="117">
        <v>45869.48120519676</v>
      </c>
      <c r="B123" s="118">
        <v>45869.0</v>
      </c>
      <c r="C123" s="119" t="s">
        <v>177</v>
      </c>
      <c r="D123" s="119">
        <v>2.5</v>
      </c>
      <c r="E123" s="119" t="s">
        <v>1073</v>
      </c>
      <c r="F123" s="119" t="s">
        <v>1079</v>
      </c>
    </row>
    <row r="124" ht="22.5" customHeight="1">
      <c r="A124" s="117">
        <v>45870.36322950231</v>
      </c>
      <c r="B124" s="118">
        <v>45868.0</v>
      </c>
      <c r="C124" s="119" t="s">
        <v>798</v>
      </c>
      <c r="D124" s="119">
        <v>27.5</v>
      </c>
      <c r="E124" s="119" t="s">
        <v>687</v>
      </c>
      <c r="F124" s="119" t="s">
        <v>1079</v>
      </c>
    </row>
    <row r="125" ht="22.5" customHeight="1">
      <c r="A125" s="117">
        <v>45870.36354396991</v>
      </c>
      <c r="B125" s="118">
        <v>45869.0</v>
      </c>
      <c r="C125" s="119" t="s">
        <v>798</v>
      </c>
      <c r="D125" s="119">
        <v>0.5</v>
      </c>
      <c r="E125" s="119" t="s">
        <v>687</v>
      </c>
      <c r="F125" s="119" t="s">
        <v>1079</v>
      </c>
    </row>
    <row r="126" ht="22.5" customHeight="1">
      <c r="A126" s="117">
        <v>45870.36390369213</v>
      </c>
      <c r="B126" s="118">
        <v>45870.0</v>
      </c>
      <c r="C126" s="119" t="s">
        <v>798</v>
      </c>
      <c r="D126" s="119">
        <v>0.5</v>
      </c>
      <c r="E126" s="119" t="s">
        <v>687</v>
      </c>
      <c r="F126" s="119" t="s">
        <v>1079</v>
      </c>
    </row>
    <row r="127" ht="22.5" customHeight="1">
      <c r="A127" s="117">
        <v>45870.36563675926</v>
      </c>
      <c r="B127" s="118">
        <v>45868.0</v>
      </c>
      <c r="C127" s="119" t="s">
        <v>882</v>
      </c>
      <c r="D127" s="119">
        <v>10.0</v>
      </c>
      <c r="E127" s="119" t="s">
        <v>687</v>
      </c>
      <c r="F127" s="119" t="s">
        <v>1077</v>
      </c>
    </row>
    <row r="128" ht="22.5" customHeight="1">
      <c r="A128" s="117">
        <v>45870.36610688658</v>
      </c>
      <c r="B128" s="118">
        <v>45869.0</v>
      </c>
      <c r="C128" s="119" t="s">
        <v>882</v>
      </c>
      <c r="D128" s="119">
        <v>10.0</v>
      </c>
      <c r="E128" s="119" t="s">
        <v>687</v>
      </c>
      <c r="F128" s="119" t="s">
        <v>1077</v>
      </c>
    </row>
    <row r="129" ht="22.5" customHeight="1">
      <c r="A129" s="117">
        <v>45870.36781177083</v>
      </c>
      <c r="B129" s="118">
        <v>45869.0</v>
      </c>
      <c r="C129" s="119" t="s">
        <v>177</v>
      </c>
      <c r="D129" s="119">
        <v>10.0</v>
      </c>
      <c r="E129" s="119" t="s">
        <v>1073</v>
      </c>
      <c r="F129" s="119" t="s">
        <v>1079</v>
      </c>
    </row>
    <row r="130" ht="22.5" customHeight="1">
      <c r="A130" s="117">
        <v>45870.368526481485</v>
      </c>
      <c r="B130" s="118">
        <v>45868.0</v>
      </c>
      <c r="C130" s="119" t="s">
        <v>59</v>
      </c>
      <c r="D130" s="119">
        <v>30.0</v>
      </c>
      <c r="E130" s="119" t="s">
        <v>1073</v>
      </c>
      <c r="F130" s="119" t="s">
        <v>1079</v>
      </c>
    </row>
    <row r="131" ht="22.5" customHeight="1">
      <c r="A131" s="117">
        <v>45870.36895351852</v>
      </c>
      <c r="B131" s="118">
        <v>45868.0</v>
      </c>
      <c r="C131" s="119" t="s">
        <v>246</v>
      </c>
      <c r="D131" s="119">
        <v>5.0</v>
      </c>
      <c r="E131" s="119" t="s">
        <v>1073</v>
      </c>
      <c r="F131" s="119" t="s">
        <v>1079</v>
      </c>
    </row>
    <row r="132" ht="22.5" customHeight="1">
      <c r="A132" s="117">
        <v>45870.36928943287</v>
      </c>
      <c r="B132" s="118">
        <v>45868.0</v>
      </c>
      <c r="C132" s="119" t="s">
        <v>142</v>
      </c>
      <c r="D132" s="119">
        <v>1.0</v>
      </c>
      <c r="E132" s="119" t="s">
        <v>1073</v>
      </c>
      <c r="F132" s="119" t="s">
        <v>1079</v>
      </c>
    </row>
    <row r="133" ht="22.5" customHeight="1">
      <c r="A133" s="117">
        <v>45870.369567500005</v>
      </c>
      <c r="B133" s="118">
        <v>45868.0</v>
      </c>
      <c r="C133" s="119" t="s">
        <v>862</v>
      </c>
      <c r="D133" s="119">
        <v>20.0</v>
      </c>
      <c r="E133" s="119" t="s">
        <v>687</v>
      </c>
      <c r="F133" s="119" t="s">
        <v>1079</v>
      </c>
    </row>
    <row r="134" ht="22.5" customHeight="1">
      <c r="A134" s="117">
        <v>45870.380216562495</v>
      </c>
      <c r="B134" s="118">
        <v>45870.0</v>
      </c>
      <c r="C134" s="119" t="s">
        <v>798</v>
      </c>
      <c r="D134" s="119">
        <v>24.0</v>
      </c>
      <c r="E134" s="119" t="s">
        <v>687</v>
      </c>
      <c r="F134" s="119" t="s">
        <v>1077</v>
      </c>
    </row>
    <row r="135" ht="22.5" customHeight="1">
      <c r="A135" s="117">
        <v>45871.614029351855</v>
      </c>
      <c r="B135" s="118">
        <v>45869.0</v>
      </c>
      <c r="C135" s="119" t="s">
        <v>280</v>
      </c>
      <c r="D135" s="119">
        <v>0.5</v>
      </c>
      <c r="E135" s="119" t="s">
        <v>1073</v>
      </c>
      <c r="F135" s="119" t="s">
        <v>1077</v>
      </c>
    </row>
    <row r="136" ht="22.5" customHeight="1">
      <c r="A136" s="117">
        <v>45871.61462920139</v>
      </c>
      <c r="B136" s="118">
        <v>45869.0</v>
      </c>
      <c r="C136" s="119" t="s">
        <v>856</v>
      </c>
      <c r="D136" s="119">
        <v>50.0</v>
      </c>
      <c r="E136" s="119" t="s">
        <v>687</v>
      </c>
      <c r="F136" s="119" t="s">
        <v>1077</v>
      </c>
    </row>
    <row r="137" ht="22.5" customHeight="1">
      <c r="A137" s="117">
        <v>45871.61537284723</v>
      </c>
      <c r="B137" s="118">
        <v>45869.0</v>
      </c>
      <c r="C137" s="119" t="s">
        <v>155</v>
      </c>
      <c r="D137" s="119">
        <v>4.0</v>
      </c>
      <c r="E137" s="119" t="s">
        <v>1073</v>
      </c>
      <c r="F137" s="119" t="s">
        <v>1077</v>
      </c>
    </row>
    <row r="138" ht="22.5" customHeight="1">
      <c r="A138" s="117">
        <v>45871.61611957176</v>
      </c>
      <c r="B138" s="118">
        <v>45869.0</v>
      </c>
      <c r="C138" s="119" t="s">
        <v>300</v>
      </c>
      <c r="D138" s="119">
        <v>0.1</v>
      </c>
      <c r="E138" s="119" t="s">
        <v>1073</v>
      </c>
      <c r="F138" s="119" t="s">
        <v>1077</v>
      </c>
    </row>
    <row r="139" ht="22.5" customHeight="1">
      <c r="A139" s="117">
        <v>45871.616756006944</v>
      </c>
      <c r="B139" s="118">
        <v>45869.0</v>
      </c>
      <c r="C139" s="119" t="s">
        <v>407</v>
      </c>
      <c r="D139" s="119">
        <v>50.0</v>
      </c>
      <c r="E139" s="119" t="s">
        <v>1073</v>
      </c>
      <c r="F139" s="119" t="s">
        <v>1077</v>
      </c>
    </row>
    <row r="140" ht="22.5" customHeight="1">
      <c r="A140" s="117">
        <v>45871.61770003472</v>
      </c>
      <c r="B140" s="118">
        <v>45869.0</v>
      </c>
      <c r="C140" s="119" t="s">
        <v>407</v>
      </c>
      <c r="D140" s="119">
        <v>50.0</v>
      </c>
      <c r="E140" s="119" t="s">
        <v>1073</v>
      </c>
      <c r="F140" s="119" t="s">
        <v>1077</v>
      </c>
    </row>
    <row r="141" ht="22.5" customHeight="1">
      <c r="A141" s="117">
        <v>45871.6181965162</v>
      </c>
      <c r="B141" s="118">
        <v>45870.0</v>
      </c>
      <c r="C141" s="119" t="s">
        <v>101</v>
      </c>
      <c r="D141" s="119">
        <v>1.0</v>
      </c>
      <c r="E141" s="119" t="s">
        <v>1073</v>
      </c>
      <c r="F141" s="119" t="s">
        <v>1077</v>
      </c>
    </row>
    <row r="142" ht="22.5" customHeight="1">
      <c r="A142" s="117">
        <v>45871.61872358796</v>
      </c>
      <c r="B142" s="118">
        <v>45870.0</v>
      </c>
      <c r="C142" s="119" t="s">
        <v>882</v>
      </c>
      <c r="D142" s="119">
        <v>10.0</v>
      </c>
      <c r="E142" s="119" t="s">
        <v>687</v>
      </c>
      <c r="F142" s="119" t="s">
        <v>1077</v>
      </c>
    </row>
    <row r="143" ht="22.5" customHeight="1">
      <c r="A143" s="117">
        <v>45871.816394305555</v>
      </c>
      <c r="B143" s="118">
        <v>45869.0</v>
      </c>
      <c r="C143" s="119" t="s">
        <v>823</v>
      </c>
      <c r="D143" s="119">
        <v>2.8</v>
      </c>
      <c r="E143" s="119" t="s">
        <v>687</v>
      </c>
      <c r="F143" s="119" t="s">
        <v>1077</v>
      </c>
    </row>
    <row r="144" ht="22.5" customHeight="1">
      <c r="A144" s="117">
        <v>45871.81763488426</v>
      </c>
      <c r="B144" s="118">
        <v>45869.0</v>
      </c>
      <c r="C144" s="119" t="s">
        <v>823</v>
      </c>
      <c r="D144" s="119">
        <v>20.0</v>
      </c>
      <c r="E144" s="119" t="s">
        <v>687</v>
      </c>
      <c r="F144" s="119" t="s">
        <v>1077</v>
      </c>
    </row>
    <row r="145" ht="22.5" customHeight="1">
      <c r="A145" s="117">
        <v>45873.14139390046</v>
      </c>
      <c r="B145" s="118">
        <v>45869.0</v>
      </c>
      <c r="C145" s="119" t="s">
        <v>305</v>
      </c>
      <c r="D145" s="119">
        <v>2.0</v>
      </c>
      <c r="E145" s="119" t="s">
        <v>1073</v>
      </c>
      <c r="F145" s="119" t="s">
        <v>1076</v>
      </c>
    </row>
    <row r="146" ht="22.5" customHeight="1">
      <c r="A146" s="117">
        <v>45873.14180094907</v>
      </c>
      <c r="B146" s="118">
        <v>45869.0</v>
      </c>
      <c r="C146" s="119" t="s">
        <v>25</v>
      </c>
      <c r="D146" s="119">
        <v>0.2</v>
      </c>
      <c r="E146" s="119" t="s">
        <v>1073</v>
      </c>
      <c r="F146" s="119" t="s">
        <v>1076</v>
      </c>
    </row>
    <row r="147" ht="22.5" customHeight="1">
      <c r="A147" s="117">
        <v>45873.14235681713</v>
      </c>
      <c r="B147" s="118">
        <v>45869.0</v>
      </c>
      <c r="C147" s="119" t="s">
        <v>875</v>
      </c>
      <c r="D147" s="119">
        <v>20.0</v>
      </c>
      <c r="E147" s="119" t="s">
        <v>687</v>
      </c>
      <c r="F147" s="119" t="s">
        <v>1076</v>
      </c>
    </row>
    <row r="148" ht="22.5" customHeight="1">
      <c r="A148" s="117">
        <v>45874.83784586805</v>
      </c>
      <c r="B148" s="118">
        <v>45873.0</v>
      </c>
      <c r="C148" s="119" t="s">
        <v>882</v>
      </c>
      <c r="D148" s="119">
        <v>10.0</v>
      </c>
      <c r="E148" s="119" t="s">
        <v>687</v>
      </c>
      <c r="F148" s="119" t="s">
        <v>1077</v>
      </c>
    </row>
    <row r="149" ht="22.5" customHeight="1">
      <c r="A149" s="117">
        <v>45874.83831840278</v>
      </c>
      <c r="B149" s="118">
        <v>45874.0</v>
      </c>
      <c r="C149" s="119" t="s">
        <v>882</v>
      </c>
      <c r="D149" s="119">
        <v>10.0</v>
      </c>
      <c r="E149" s="119" t="s">
        <v>687</v>
      </c>
      <c r="F149" s="119" t="s">
        <v>1077</v>
      </c>
    </row>
    <row r="150" ht="22.5" customHeight="1">
      <c r="A150" s="117">
        <v>45874.83984642361</v>
      </c>
      <c r="B150" s="118">
        <v>45873.0</v>
      </c>
      <c r="C150" s="119" t="s">
        <v>850</v>
      </c>
      <c r="D150" s="119">
        <v>50.0</v>
      </c>
      <c r="E150" s="119" t="s">
        <v>687</v>
      </c>
      <c r="F150" s="119" t="s">
        <v>1077</v>
      </c>
    </row>
    <row r="151" ht="22.5" customHeight="1">
      <c r="A151" s="117">
        <v>45876.83707508101</v>
      </c>
      <c r="B151" s="118">
        <v>45876.0</v>
      </c>
      <c r="C151" s="119" t="s">
        <v>823</v>
      </c>
      <c r="D151" s="119">
        <v>5.0</v>
      </c>
      <c r="E151" s="119" t="s">
        <v>687</v>
      </c>
      <c r="F151" s="119" t="s">
        <v>1081</v>
      </c>
    </row>
    <row r="152" ht="22.5" customHeight="1">
      <c r="A152" s="117">
        <v>45876.83803832176</v>
      </c>
      <c r="B152" s="118">
        <v>45876.0</v>
      </c>
      <c r="C152" s="119" t="s">
        <v>225</v>
      </c>
      <c r="D152" s="119">
        <v>2.0</v>
      </c>
      <c r="E152" s="119" t="s">
        <v>1073</v>
      </c>
      <c r="F152" s="119" t="s">
        <v>1081</v>
      </c>
    </row>
    <row r="153" ht="22.5" customHeight="1">
      <c r="A153" s="117">
        <v>45876.84704947917</v>
      </c>
      <c r="B153" s="118">
        <v>45876.0</v>
      </c>
      <c r="C153" s="119" t="s">
        <v>155</v>
      </c>
      <c r="D153" s="119">
        <v>13.5</v>
      </c>
      <c r="E153" s="119" t="s">
        <v>1073</v>
      </c>
      <c r="F153" s="119" t="s">
        <v>1081</v>
      </c>
    </row>
    <row r="154" ht="22.5" customHeight="1">
      <c r="A154" s="117">
        <v>45876.84806039352</v>
      </c>
      <c r="B154" s="118">
        <v>45876.0</v>
      </c>
      <c r="C154" s="119" t="s">
        <v>882</v>
      </c>
      <c r="D154" s="119">
        <v>74.1</v>
      </c>
      <c r="E154" s="119" t="s">
        <v>687</v>
      </c>
      <c r="F154" s="119" t="s">
        <v>1081</v>
      </c>
    </row>
    <row r="155" ht="22.5" customHeight="1">
      <c r="A155" s="117">
        <v>45876.84895131944</v>
      </c>
      <c r="B155" s="118">
        <v>45876.0</v>
      </c>
      <c r="C155" s="119" t="s">
        <v>170</v>
      </c>
      <c r="D155" s="119">
        <v>50.0</v>
      </c>
      <c r="E155" s="119" t="s">
        <v>1073</v>
      </c>
      <c r="F155" s="119" t="s">
        <v>1081</v>
      </c>
    </row>
    <row r="156" ht="22.5" customHeight="1">
      <c r="A156" s="117">
        <v>45876.85220032407</v>
      </c>
      <c r="B156" s="118">
        <v>45876.0</v>
      </c>
      <c r="C156" s="119" t="s">
        <v>184</v>
      </c>
      <c r="D156" s="119">
        <v>0.318</v>
      </c>
      <c r="E156" s="119" t="s">
        <v>1073</v>
      </c>
      <c r="F156" s="119" t="s">
        <v>1081</v>
      </c>
    </row>
    <row r="157" ht="22.5" customHeight="1">
      <c r="A157" s="117">
        <v>45876.852558425926</v>
      </c>
      <c r="B157" s="118">
        <v>45876.0</v>
      </c>
      <c r="C157" s="119" t="s">
        <v>184</v>
      </c>
      <c r="D157" s="119">
        <v>0.318</v>
      </c>
      <c r="E157" s="119" t="s">
        <v>1073</v>
      </c>
      <c r="F157" s="119" t="s">
        <v>1081</v>
      </c>
    </row>
    <row r="158" ht="22.5" customHeight="1">
      <c r="A158" s="117">
        <v>45876.85540049769</v>
      </c>
      <c r="B158" s="118">
        <v>45876.0</v>
      </c>
      <c r="C158" s="119" t="s">
        <v>494</v>
      </c>
      <c r="D158" s="119">
        <v>2.5</v>
      </c>
      <c r="E158" s="119" t="s">
        <v>1073</v>
      </c>
      <c r="F158" s="119" t="s">
        <v>1081</v>
      </c>
    </row>
    <row r="159" ht="22.5" customHeight="1">
      <c r="A159" s="117">
        <v>45877.66763364583</v>
      </c>
      <c r="B159" s="118">
        <v>45873.0</v>
      </c>
      <c r="C159" s="119" t="s">
        <v>798</v>
      </c>
      <c r="D159" s="119">
        <v>1.0</v>
      </c>
      <c r="E159" s="119" t="s">
        <v>687</v>
      </c>
      <c r="F159" s="119" t="s">
        <v>1079</v>
      </c>
    </row>
    <row r="160" ht="22.5" customHeight="1">
      <c r="A160" s="117">
        <v>45877.669020636575</v>
      </c>
      <c r="B160" s="118">
        <v>45873.0</v>
      </c>
      <c r="C160" s="119" t="s">
        <v>875</v>
      </c>
      <c r="D160" s="119">
        <v>5.0</v>
      </c>
      <c r="E160" s="119" t="s">
        <v>687</v>
      </c>
      <c r="F160" s="119" t="s">
        <v>1079</v>
      </c>
    </row>
    <row r="161" ht="22.5" customHeight="1">
      <c r="A161" s="117">
        <v>45877.671424768516</v>
      </c>
      <c r="B161" s="118">
        <v>45874.0</v>
      </c>
      <c r="C161" s="119" t="s">
        <v>501</v>
      </c>
      <c r="D161" s="119">
        <v>0.51</v>
      </c>
      <c r="E161" s="119" t="s">
        <v>1073</v>
      </c>
      <c r="F161" s="119" t="s">
        <v>1079</v>
      </c>
    </row>
    <row r="162" ht="22.5" customHeight="1">
      <c r="A162" s="117">
        <v>45877.67266606481</v>
      </c>
      <c r="B162" s="118">
        <v>45873.0</v>
      </c>
      <c r="C162" s="119" t="s">
        <v>177</v>
      </c>
      <c r="D162" s="119">
        <v>5.0</v>
      </c>
      <c r="E162" s="119" t="s">
        <v>1073</v>
      </c>
      <c r="F162" s="119" t="s">
        <v>1079</v>
      </c>
    </row>
    <row r="163" ht="22.5" customHeight="1">
      <c r="A163" s="117">
        <v>45877.674797106476</v>
      </c>
      <c r="B163" s="118">
        <v>45874.0</v>
      </c>
      <c r="C163" s="119" t="s">
        <v>909</v>
      </c>
      <c r="D163" s="119">
        <v>25.0</v>
      </c>
      <c r="E163" s="119" t="s">
        <v>687</v>
      </c>
      <c r="F163" s="119" t="s">
        <v>1079</v>
      </c>
    </row>
    <row r="164" ht="22.5" customHeight="1">
      <c r="A164" s="117">
        <v>45877.675425856476</v>
      </c>
      <c r="B164" s="118">
        <v>45874.0</v>
      </c>
      <c r="C164" s="119" t="s">
        <v>898</v>
      </c>
      <c r="D164" s="119">
        <v>25.0</v>
      </c>
      <c r="E164" s="119" t="s">
        <v>687</v>
      </c>
      <c r="F164" s="119" t="s">
        <v>1079</v>
      </c>
    </row>
    <row r="165" ht="22.5" customHeight="1">
      <c r="A165" s="117">
        <v>45877.67577371528</v>
      </c>
      <c r="B165" s="118">
        <v>45874.0</v>
      </c>
      <c r="C165" s="119" t="s">
        <v>904</v>
      </c>
      <c r="D165" s="119">
        <v>25.0</v>
      </c>
      <c r="E165" s="119" t="s">
        <v>687</v>
      </c>
      <c r="F165" s="119" t="s">
        <v>1079</v>
      </c>
    </row>
    <row r="166" ht="22.5" customHeight="1">
      <c r="A166" s="117">
        <v>45877.67722203703</v>
      </c>
      <c r="B166" s="118">
        <v>45874.0</v>
      </c>
      <c r="C166" s="119" t="s">
        <v>798</v>
      </c>
      <c r="D166" s="119">
        <v>28.0</v>
      </c>
      <c r="E166" s="119" t="s">
        <v>687</v>
      </c>
      <c r="F166" s="119" t="s">
        <v>1079</v>
      </c>
    </row>
    <row r="167" ht="22.5" customHeight="1">
      <c r="A167" s="117">
        <v>45877.67795582176</v>
      </c>
      <c r="B167" s="118">
        <v>45874.0</v>
      </c>
      <c r="C167" s="119" t="s">
        <v>177</v>
      </c>
      <c r="D167" s="119">
        <v>2.5</v>
      </c>
      <c r="E167" s="119" t="s">
        <v>1073</v>
      </c>
      <c r="F167" s="119" t="s">
        <v>1079</v>
      </c>
    </row>
    <row r="168" ht="22.5" customHeight="1">
      <c r="A168" s="117">
        <v>45877.67870950232</v>
      </c>
      <c r="B168" s="118">
        <v>45874.0</v>
      </c>
      <c r="C168" s="119" t="s">
        <v>875</v>
      </c>
      <c r="D168" s="119">
        <v>7.0</v>
      </c>
      <c r="E168" s="119" t="s">
        <v>687</v>
      </c>
      <c r="F168" s="119" t="s">
        <v>1079</v>
      </c>
    </row>
    <row r="169" ht="22.5" customHeight="1">
      <c r="A169" s="117">
        <v>45877.681338634255</v>
      </c>
      <c r="B169" s="118">
        <v>45874.0</v>
      </c>
      <c r="C169" s="119" t="s">
        <v>837</v>
      </c>
      <c r="D169" s="119">
        <v>200.0</v>
      </c>
      <c r="E169" s="119" t="s">
        <v>687</v>
      </c>
      <c r="F169" s="119" t="s">
        <v>1079</v>
      </c>
    </row>
    <row r="170" ht="22.5" customHeight="1">
      <c r="A170" s="117">
        <v>45877.68196112268</v>
      </c>
      <c r="B170" s="118">
        <v>45875.0</v>
      </c>
      <c r="C170" s="119" t="s">
        <v>909</v>
      </c>
      <c r="D170" s="119">
        <v>35.0</v>
      </c>
      <c r="E170" s="119" t="s">
        <v>687</v>
      </c>
      <c r="F170" s="119" t="s">
        <v>1079</v>
      </c>
    </row>
    <row r="171" ht="22.5" customHeight="1">
      <c r="A171" s="117">
        <v>45877.682599479165</v>
      </c>
      <c r="B171" s="118">
        <v>45875.0</v>
      </c>
      <c r="C171" s="119" t="s">
        <v>253</v>
      </c>
      <c r="D171" s="119">
        <v>40.0</v>
      </c>
      <c r="E171" s="119" t="s">
        <v>687</v>
      </c>
      <c r="F171" s="119" t="s">
        <v>1079</v>
      </c>
    </row>
    <row r="172" ht="22.5" customHeight="1">
      <c r="A172" s="117">
        <v>45877.68302087963</v>
      </c>
      <c r="B172" s="118">
        <v>45875.0</v>
      </c>
      <c r="C172" s="119" t="s">
        <v>904</v>
      </c>
      <c r="D172" s="119">
        <v>35.0</v>
      </c>
      <c r="E172" s="119" t="s">
        <v>687</v>
      </c>
      <c r="F172" s="119" t="s">
        <v>1079</v>
      </c>
    </row>
    <row r="173" ht="22.5" customHeight="1">
      <c r="A173" s="117">
        <v>45877.68374540509</v>
      </c>
      <c r="B173" s="118">
        <v>45875.0</v>
      </c>
      <c r="C173" s="119" t="s">
        <v>875</v>
      </c>
      <c r="D173" s="119">
        <v>5.0</v>
      </c>
      <c r="E173" s="119" t="s">
        <v>687</v>
      </c>
      <c r="F173" s="119" t="s">
        <v>1079</v>
      </c>
    </row>
    <row r="174" ht="22.5" customHeight="1">
      <c r="A174" s="117">
        <v>45877.68475043982</v>
      </c>
      <c r="B174" s="118">
        <v>45875.0</v>
      </c>
      <c r="C174" s="119" t="s">
        <v>177</v>
      </c>
      <c r="D174" s="119">
        <v>5.0</v>
      </c>
      <c r="E174" s="119" t="s">
        <v>1073</v>
      </c>
      <c r="F174" s="119" t="s">
        <v>1079</v>
      </c>
    </row>
    <row r="175" ht="22.5" customHeight="1">
      <c r="A175" s="117">
        <v>45877.68547418981</v>
      </c>
      <c r="B175" s="118">
        <v>45875.0</v>
      </c>
      <c r="C175" s="119" t="s">
        <v>798</v>
      </c>
      <c r="D175" s="119">
        <v>1.0</v>
      </c>
      <c r="E175" s="119" t="s">
        <v>687</v>
      </c>
      <c r="F175" s="119" t="s">
        <v>1079</v>
      </c>
    </row>
    <row r="176" ht="22.5" customHeight="1">
      <c r="A176" s="117">
        <v>45877.6862846875</v>
      </c>
      <c r="B176" s="118">
        <v>45876.0</v>
      </c>
      <c r="C176" s="119" t="s">
        <v>909</v>
      </c>
      <c r="D176" s="119">
        <v>40.0</v>
      </c>
      <c r="E176" s="119" t="s">
        <v>687</v>
      </c>
      <c r="F176" s="119" t="s">
        <v>1079</v>
      </c>
    </row>
    <row r="177" ht="22.5" customHeight="1">
      <c r="A177" s="117">
        <v>45877.68660274305</v>
      </c>
      <c r="B177" s="118">
        <v>45876.0</v>
      </c>
      <c r="C177" s="119" t="s">
        <v>898</v>
      </c>
      <c r="D177" s="119">
        <v>40.0</v>
      </c>
      <c r="E177" s="119" t="s">
        <v>687</v>
      </c>
      <c r="F177" s="119" t="s">
        <v>1079</v>
      </c>
    </row>
    <row r="178" ht="22.5" customHeight="1">
      <c r="A178" s="117">
        <v>45877.68697929398</v>
      </c>
      <c r="B178" s="118">
        <v>45876.0</v>
      </c>
      <c r="C178" s="119" t="s">
        <v>904</v>
      </c>
      <c r="D178" s="119">
        <v>40.0</v>
      </c>
      <c r="E178" s="119" t="s">
        <v>687</v>
      </c>
      <c r="F178" s="119" t="s">
        <v>1079</v>
      </c>
    </row>
    <row r="179" ht="22.5" customHeight="1">
      <c r="A179" s="117">
        <v>45877.68733752315</v>
      </c>
      <c r="B179" s="118">
        <v>45876.0</v>
      </c>
      <c r="C179" s="119" t="s">
        <v>798</v>
      </c>
      <c r="D179" s="119">
        <v>0.5</v>
      </c>
      <c r="E179" s="119" t="s">
        <v>687</v>
      </c>
      <c r="F179" s="119" t="s">
        <v>1079</v>
      </c>
    </row>
    <row r="180" ht="22.5" customHeight="1">
      <c r="A180" s="117">
        <v>45877.68779107639</v>
      </c>
      <c r="B180" s="118">
        <v>45876.0</v>
      </c>
      <c r="C180" s="119" t="s">
        <v>177</v>
      </c>
      <c r="D180" s="119">
        <v>2.5</v>
      </c>
      <c r="E180" s="119" t="s">
        <v>1073</v>
      </c>
      <c r="F180" s="119" t="s">
        <v>1079</v>
      </c>
    </row>
    <row r="181" ht="22.5" customHeight="1">
      <c r="A181" s="117">
        <v>45877.695296192134</v>
      </c>
      <c r="B181" s="118">
        <v>45876.0</v>
      </c>
      <c r="C181" s="119" t="s">
        <v>875</v>
      </c>
      <c r="D181" s="119">
        <v>5.0</v>
      </c>
      <c r="E181" s="119" t="s">
        <v>687</v>
      </c>
      <c r="F181" s="119" t="s">
        <v>1079</v>
      </c>
    </row>
    <row r="182" ht="22.5" customHeight="1">
      <c r="A182" s="117">
        <v>45878.541124201394</v>
      </c>
      <c r="B182" s="118">
        <v>45876.0</v>
      </c>
      <c r="C182" s="119" t="s">
        <v>170</v>
      </c>
      <c r="D182" s="119">
        <v>6.0</v>
      </c>
      <c r="E182" s="119" t="s">
        <v>1073</v>
      </c>
      <c r="F182" s="119" t="s">
        <v>1076</v>
      </c>
    </row>
    <row r="183" ht="22.5" customHeight="1">
      <c r="A183" s="117">
        <v>45878.54155763889</v>
      </c>
      <c r="B183" s="118">
        <v>45876.0</v>
      </c>
      <c r="C183" s="119" t="s">
        <v>823</v>
      </c>
      <c r="D183" s="119">
        <v>7.0</v>
      </c>
      <c r="E183" s="119" t="s">
        <v>687</v>
      </c>
      <c r="F183" s="119" t="s">
        <v>1076</v>
      </c>
    </row>
    <row r="184" ht="22.5" customHeight="1">
      <c r="A184" s="117">
        <v>45878.542087222224</v>
      </c>
      <c r="B184" s="118">
        <v>45876.0</v>
      </c>
      <c r="C184" s="119" t="s">
        <v>882</v>
      </c>
      <c r="D184" s="119">
        <v>10.0</v>
      </c>
      <c r="E184" s="119" t="s">
        <v>687</v>
      </c>
      <c r="F184" s="119" t="s">
        <v>1076</v>
      </c>
    </row>
    <row r="185" ht="22.5" customHeight="1">
      <c r="A185" s="117">
        <v>45878.54350833333</v>
      </c>
      <c r="B185" s="118">
        <v>45877.0</v>
      </c>
      <c r="C185" s="119" t="s">
        <v>184</v>
      </c>
      <c r="D185" s="119">
        <v>1.0</v>
      </c>
      <c r="E185" s="119" t="s">
        <v>1073</v>
      </c>
      <c r="F185" s="119" t="s">
        <v>1076</v>
      </c>
    </row>
    <row r="186" ht="22.5" customHeight="1">
      <c r="A186" s="117">
        <v>45878.543824039356</v>
      </c>
      <c r="B186" s="118">
        <v>45877.0</v>
      </c>
      <c r="C186" s="119" t="s">
        <v>823</v>
      </c>
      <c r="D186" s="119">
        <v>14.0</v>
      </c>
      <c r="E186" s="119" t="s">
        <v>687</v>
      </c>
      <c r="F186" s="119" t="s">
        <v>1076</v>
      </c>
    </row>
    <row r="187" ht="22.5" customHeight="1">
      <c r="A187" s="117">
        <v>45878.54407341435</v>
      </c>
      <c r="B187" s="118">
        <v>45877.0</v>
      </c>
      <c r="C187" s="119" t="s">
        <v>757</v>
      </c>
      <c r="D187" s="119">
        <v>10.0</v>
      </c>
      <c r="E187" s="119" t="s">
        <v>687</v>
      </c>
      <c r="F187" s="119" t="s">
        <v>1076</v>
      </c>
    </row>
    <row r="188" ht="22.5" customHeight="1">
      <c r="A188" s="117">
        <v>45879.93659170139</v>
      </c>
      <c r="B188" s="118">
        <v>45877.0</v>
      </c>
      <c r="C188" s="119" t="s">
        <v>823</v>
      </c>
      <c r="D188" s="119">
        <v>10.0</v>
      </c>
      <c r="E188" s="119" t="s">
        <v>687</v>
      </c>
      <c r="F188" s="119" t="s">
        <v>1081</v>
      </c>
    </row>
    <row r="189" ht="22.5" customHeight="1">
      <c r="A189" s="117">
        <v>45880.44558263889</v>
      </c>
      <c r="B189" s="118">
        <v>45880.0</v>
      </c>
      <c r="C189" s="119" t="s">
        <v>904</v>
      </c>
      <c r="D189" s="119">
        <v>45.0</v>
      </c>
      <c r="E189" s="119" t="s">
        <v>687</v>
      </c>
      <c r="F189" s="119" t="s">
        <v>1079</v>
      </c>
    </row>
    <row r="190" ht="22.5" customHeight="1">
      <c r="A190" s="117">
        <v>45880.44658134259</v>
      </c>
      <c r="B190" s="118">
        <v>45880.0</v>
      </c>
      <c r="C190" s="119" t="s">
        <v>898</v>
      </c>
      <c r="D190" s="119">
        <v>35.0</v>
      </c>
      <c r="E190" s="119" t="s">
        <v>687</v>
      </c>
      <c r="F190" s="119" t="s">
        <v>1079</v>
      </c>
    </row>
    <row r="191" ht="22.5" customHeight="1">
      <c r="A191" s="117">
        <v>45880.446927592595</v>
      </c>
      <c r="B191" s="118">
        <v>45880.0</v>
      </c>
      <c r="C191" s="119" t="s">
        <v>909</v>
      </c>
      <c r="D191" s="119">
        <v>25.0</v>
      </c>
      <c r="E191" s="119" t="s">
        <v>687</v>
      </c>
      <c r="F191" s="119" t="s">
        <v>1079</v>
      </c>
    </row>
    <row r="192" ht="22.5" customHeight="1">
      <c r="A192" s="117">
        <v>45880.62859415509</v>
      </c>
      <c r="B192" s="118">
        <v>45880.0</v>
      </c>
      <c r="C192" s="119" t="s">
        <v>311</v>
      </c>
      <c r="D192" s="119">
        <v>1.02</v>
      </c>
      <c r="E192" s="119" t="s">
        <v>1073</v>
      </c>
      <c r="F192" s="119" t="s">
        <v>1079</v>
      </c>
    </row>
    <row r="193" ht="22.5" customHeight="1">
      <c r="A193" s="117">
        <v>45881.36748082176</v>
      </c>
      <c r="B193" s="118">
        <v>45880.0</v>
      </c>
      <c r="C193" s="119" t="s">
        <v>18</v>
      </c>
      <c r="D193" s="119">
        <v>0.4805</v>
      </c>
      <c r="E193" s="119" t="s">
        <v>1073</v>
      </c>
      <c r="F193" s="119" t="s">
        <v>1076</v>
      </c>
    </row>
    <row r="194" ht="22.5" customHeight="1">
      <c r="A194" s="117">
        <v>45881.36793127315</v>
      </c>
      <c r="B194" s="118">
        <v>45880.0</v>
      </c>
      <c r="C194" s="119" t="s">
        <v>246</v>
      </c>
      <c r="D194" s="119">
        <v>0.068</v>
      </c>
      <c r="E194" s="119" t="s">
        <v>1073</v>
      </c>
      <c r="F194" s="119" t="s">
        <v>1076</v>
      </c>
    </row>
    <row r="195" ht="22.5" customHeight="1">
      <c r="A195" s="117">
        <v>45881.36872033565</v>
      </c>
      <c r="B195" s="118">
        <v>45880.0</v>
      </c>
      <c r="C195" s="119" t="s">
        <v>823</v>
      </c>
      <c r="D195" s="119">
        <v>25.0</v>
      </c>
      <c r="E195" s="119" t="s">
        <v>687</v>
      </c>
      <c r="F195" s="119" t="s">
        <v>1076</v>
      </c>
    </row>
    <row r="196" ht="22.5" customHeight="1">
      <c r="A196" s="117">
        <v>45881.36924907407</v>
      </c>
      <c r="B196" s="118">
        <v>45880.0</v>
      </c>
      <c r="C196" s="119" t="s">
        <v>170</v>
      </c>
      <c r="D196" s="119">
        <v>6.0</v>
      </c>
      <c r="E196" s="119" t="s">
        <v>1073</v>
      </c>
      <c r="F196" s="119" t="s">
        <v>1076</v>
      </c>
    </row>
    <row r="197" ht="22.5" customHeight="1">
      <c r="A197" s="117">
        <v>45881.3697180787</v>
      </c>
      <c r="B197" s="118">
        <v>45880.0</v>
      </c>
      <c r="C197" s="119" t="s">
        <v>225</v>
      </c>
      <c r="D197" s="119">
        <v>0.25</v>
      </c>
      <c r="E197" s="119" t="s">
        <v>1073</v>
      </c>
      <c r="F197" s="119" t="s">
        <v>1076</v>
      </c>
    </row>
    <row r="198" ht="22.5" customHeight="1">
      <c r="A198" s="117">
        <v>45881.3702003125</v>
      </c>
      <c r="B198" s="118">
        <v>45880.0</v>
      </c>
      <c r="C198" s="119" t="s">
        <v>239</v>
      </c>
      <c r="D198" s="119">
        <v>10.0</v>
      </c>
      <c r="E198" s="119" t="s">
        <v>1073</v>
      </c>
      <c r="F198" s="119" t="s">
        <v>1076</v>
      </c>
    </row>
    <row r="199" ht="22.5" customHeight="1">
      <c r="A199" s="117">
        <v>45881.37057846064</v>
      </c>
      <c r="B199" s="118">
        <v>45880.0</v>
      </c>
      <c r="C199" s="119" t="s">
        <v>155</v>
      </c>
      <c r="D199" s="119">
        <v>0.5</v>
      </c>
      <c r="E199" s="119" t="s">
        <v>1073</v>
      </c>
      <c r="F199" s="119" t="s">
        <v>1076</v>
      </c>
    </row>
    <row r="200" ht="22.5" customHeight="1">
      <c r="A200" s="117">
        <v>45881.37111825231</v>
      </c>
      <c r="B200" s="118">
        <v>45880.0</v>
      </c>
      <c r="C200" s="119" t="s">
        <v>882</v>
      </c>
      <c r="D200" s="119">
        <v>20.0</v>
      </c>
      <c r="E200" s="119" t="s">
        <v>687</v>
      </c>
      <c r="F200" s="119" t="s">
        <v>1076</v>
      </c>
    </row>
    <row r="201" ht="22.5" customHeight="1">
      <c r="A201" s="117">
        <v>45881.37166121528</v>
      </c>
      <c r="B201" s="118">
        <v>45880.0</v>
      </c>
      <c r="C201" s="119" t="s">
        <v>823</v>
      </c>
      <c r="D201" s="119">
        <v>175.0</v>
      </c>
      <c r="E201" s="119" t="s">
        <v>687</v>
      </c>
      <c r="F201" s="119" t="s">
        <v>1076</v>
      </c>
    </row>
    <row r="202" ht="22.5" customHeight="1">
      <c r="A202" s="117">
        <v>45881.4235812963</v>
      </c>
      <c r="B202" s="118">
        <v>45881.0</v>
      </c>
      <c r="C202" s="119" t="s">
        <v>311</v>
      </c>
      <c r="D202" s="119">
        <v>1.03</v>
      </c>
      <c r="E202" s="119" t="s">
        <v>1073</v>
      </c>
      <c r="F202" s="119" t="s">
        <v>1079</v>
      </c>
    </row>
    <row r="203" ht="22.5" customHeight="1">
      <c r="A203" s="117">
        <v>45881.423984016204</v>
      </c>
      <c r="B203" s="118">
        <v>45881.0</v>
      </c>
      <c r="C203" s="119" t="s">
        <v>909</v>
      </c>
      <c r="D203" s="119">
        <v>25.0</v>
      </c>
      <c r="E203" s="119" t="s">
        <v>687</v>
      </c>
      <c r="F203" s="119" t="s">
        <v>1079</v>
      </c>
    </row>
    <row r="204" ht="22.5" customHeight="1">
      <c r="A204" s="117">
        <v>45881.42441604167</v>
      </c>
      <c r="B204" s="118">
        <v>45881.0</v>
      </c>
      <c r="C204" s="119" t="s">
        <v>898</v>
      </c>
      <c r="D204" s="119">
        <v>25.0</v>
      </c>
      <c r="E204" s="119" t="s">
        <v>687</v>
      </c>
      <c r="F204" s="119" t="s">
        <v>1079</v>
      </c>
    </row>
    <row r="205" ht="22.5" customHeight="1">
      <c r="A205" s="117">
        <v>45881.42484947917</v>
      </c>
      <c r="B205" s="118">
        <v>45881.0</v>
      </c>
      <c r="C205" s="119" t="s">
        <v>904</v>
      </c>
      <c r="D205" s="119">
        <v>25.0</v>
      </c>
      <c r="E205" s="119" t="s">
        <v>687</v>
      </c>
      <c r="F205" s="119" t="s">
        <v>1079</v>
      </c>
    </row>
    <row r="206" ht="22.5" customHeight="1">
      <c r="A206" s="117">
        <v>45881.9352109375</v>
      </c>
      <c r="B206" s="118">
        <v>45881.0</v>
      </c>
      <c r="C206" s="119" t="s">
        <v>155</v>
      </c>
      <c r="D206" s="119">
        <v>27.0</v>
      </c>
      <c r="E206" s="119" t="s">
        <v>1073</v>
      </c>
      <c r="F206" s="119" t="s">
        <v>1081</v>
      </c>
    </row>
    <row r="207" ht="22.5" customHeight="1">
      <c r="A207" s="117">
        <v>45889.48983152778</v>
      </c>
      <c r="B207" s="118">
        <v>45889.0</v>
      </c>
      <c r="C207" s="119" t="s">
        <v>831</v>
      </c>
      <c r="D207" s="119">
        <v>406.0</v>
      </c>
      <c r="E207" s="119" t="s">
        <v>687</v>
      </c>
      <c r="F207" s="119" t="s">
        <v>1082</v>
      </c>
    </row>
    <row r="208" ht="22.5" customHeight="1">
      <c r="A208" s="117">
        <v>45889.49030415509</v>
      </c>
      <c r="B208" s="118">
        <v>45888.0</v>
      </c>
      <c r="C208" s="119" t="s">
        <v>831</v>
      </c>
      <c r="D208" s="119">
        <v>541.0</v>
      </c>
      <c r="E208" s="119" t="s">
        <v>687</v>
      </c>
      <c r="F208" s="119" t="s">
        <v>1079</v>
      </c>
    </row>
    <row r="209" ht="22.5" customHeight="1">
      <c r="A209" s="117">
        <v>45889.490746435185</v>
      </c>
      <c r="B209" s="118">
        <v>45888.0</v>
      </c>
      <c r="C209" s="119" t="s">
        <v>155</v>
      </c>
      <c r="D209" s="119">
        <v>1.25</v>
      </c>
      <c r="E209" s="119" t="s">
        <v>1073</v>
      </c>
      <c r="F209" s="119" t="s">
        <v>1079</v>
      </c>
    </row>
    <row r="210" ht="22.5" customHeight="1">
      <c r="A210" s="117">
        <v>45889.491142962965</v>
      </c>
      <c r="B210" s="118">
        <v>45888.0</v>
      </c>
      <c r="C210" s="119" t="s">
        <v>464</v>
      </c>
      <c r="D210" s="119">
        <v>2.5</v>
      </c>
      <c r="E210" s="119" t="s">
        <v>1073</v>
      </c>
      <c r="F210" s="119" t="s">
        <v>1079</v>
      </c>
    </row>
    <row r="211" ht="22.5" customHeight="1">
      <c r="A211" s="117">
        <v>45889.49163796296</v>
      </c>
      <c r="B211" s="118">
        <v>45889.0</v>
      </c>
      <c r="C211" s="119" t="s">
        <v>155</v>
      </c>
      <c r="D211" s="119">
        <v>6.25</v>
      </c>
      <c r="E211" s="119" t="s">
        <v>1073</v>
      </c>
      <c r="F211" s="119" t="s">
        <v>1083</v>
      </c>
    </row>
    <row r="212" ht="22.5" customHeight="1">
      <c r="A212" s="117">
        <v>45889.49215766204</v>
      </c>
      <c r="B212" s="118">
        <v>45889.0</v>
      </c>
      <c r="C212" s="119" t="s">
        <v>464</v>
      </c>
      <c r="D212" s="119">
        <v>12.5</v>
      </c>
      <c r="E212" s="119" t="s">
        <v>1073</v>
      </c>
      <c r="F212" s="119" t="s">
        <v>1083</v>
      </c>
    </row>
    <row r="213" ht="22.5" customHeight="1">
      <c r="A213" s="117">
        <v>45889.493474780094</v>
      </c>
      <c r="B213" s="118">
        <v>45888.0</v>
      </c>
      <c r="C213" s="119" t="s">
        <v>751</v>
      </c>
      <c r="D213" s="119">
        <v>10.0</v>
      </c>
      <c r="E213" s="119" t="s">
        <v>687</v>
      </c>
      <c r="F213" s="119" t="s">
        <v>1079</v>
      </c>
    </row>
    <row r="214" ht="22.5" customHeight="1">
      <c r="A214" s="117">
        <v>45889.49378878472</v>
      </c>
      <c r="B214" s="118">
        <v>45888.0</v>
      </c>
      <c r="C214" s="119" t="s">
        <v>709</v>
      </c>
      <c r="D214" s="119">
        <v>15.0</v>
      </c>
      <c r="E214" s="119" t="s">
        <v>687</v>
      </c>
      <c r="F214" s="119" t="s">
        <v>1083</v>
      </c>
    </row>
    <row r="215" ht="22.5" customHeight="1">
      <c r="A215" s="117">
        <v>45889.49418819444</v>
      </c>
      <c r="B215" s="118">
        <v>45888.0</v>
      </c>
      <c r="C215" s="119" t="s">
        <v>792</v>
      </c>
      <c r="D215" s="119">
        <v>10.0</v>
      </c>
      <c r="E215" s="119" t="s">
        <v>687</v>
      </c>
      <c r="F215" s="119" t="s">
        <v>1079</v>
      </c>
    </row>
    <row r="216" ht="22.5" customHeight="1">
      <c r="A216" s="117">
        <v>45889.49542489584</v>
      </c>
      <c r="B216" s="118">
        <v>45889.0</v>
      </c>
      <c r="C216" s="119" t="s">
        <v>709</v>
      </c>
      <c r="D216" s="119">
        <v>15.0</v>
      </c>
      <c r="E216" s="119" t="s">
        <v>687</v>
      </c>
      <c r="F216" s="119" t="s">
        <v>1079</v>
      </c>
    </row>
    <row r="217" ht="22.5" customHeight="1">
      <c r="A217" s="117">
        <v>45889.49595953704</v>
      </c>
      <c r="B217" s="118">
        <v>45889.0</v>
      </c>
      <c r="C217" s="119" t="s">
        <v>792</v>
      </c>
      <c r="D217" s="119">
        <v>10.0</v>
      </c>
      <c r="E217" s="119" t="s">
        <v>687</v>
      </c>
      <c r="F217" s="119" t="s">
        <v>1079</v>
      </c>
    </row>
    <row r="218" ht="22.5" customHeight="1">
      <c r="A218" s="117">
        <v>45894.60224748842</v>
      </c>
      <c r="B218" s="118">
        <v>45888.0</v>
      </c>
      <c r="C218" s="119" t="s">
        <v>944</v>
      </c>
      <c r="D218" s="119">
        <v>3.0</v>
      </c>
      <c r="E218" s="119" t="s">
        <v>562</v>
      </c>
      <c r="F218" s="119" t="s">
        <v>1084</v>
      </c>
    </row>
    <row r="219" ht="22.5" customHeight="1">
      <c r="A219" s="117">
        <v>45897.44506358796</v>
      </c>
      <c r="B219" s="118">
        <v>45897.0</v>
      </c>
      <c r="C219" s="119" t="s">
        <v>817</v>
      </c>
      <c r="D219" s="119">
        <v>25.0</v>
      </c>
      <c r="E219" s="119" t="s">
        <v>687</v>
      </c>
      <c r="F219" s="119" t="s">
        <v>1079</v>
      </c>
    </row>
    <row r="220" ht="22.5" customHeight="1">
      <c r="A220" s="117">
        <v>45897.44587011574</v>
      </c>
      <c r="B220" s="118">
        <v>45896.0</v>
      </c>
      <c r="C220" s="119" t="s">
        <v>831</v>
      </c>
      <c r="D220" s="119">
        <v>13.0</v>
      </c>
      <c r="E220" s="119" t="s">
        <v>687</v>
      </c>
      <c r="F220" s="119" t="s">
        <v>1079</v>
      </c>
    </row>
    <row r="221" ht="22.5" customHeight="1">
      <c r="A221" s="117">
        <v>45897.44712621528</v>
      </c>
      <c r="B221" s="118">
        <v>45896.0</v>
      </c>
      <c r="C221" s="119" t="s">
        <v>882</v>
      </c>
      <c r="D221" s="119">
        <v>5.0</v>
      </c>
      <c r="E221" s="119" t="s">
        <v>687</v>
      </c>
      <c r="F221" s="119" t="s">
        <v>1079</v>
      </c>
    </row>
    <row r="222" ht="22.5" customHeight="1">
      <c r="A222" s="117">
        <v>45897.45040717593</v>
      </c>
      <c r="B222" s="118">
        <v>45896.0</v>
      </c>
      <c r="C222" s="119" t="s">
        <v>769</v>
      </c>
      <c r="D222" s="119">
        <v>10.0</v>
      </c>
      <c r="E222" s="119" t="s">
        <v>687</v>
      </c>
      <c r="F222" s="119" t="s">
        <v>1079</v>
      </c>
    </row>
    <row r="223" ht="22.5" customHeight="1">
      <c r="A223" s="117">
        <v>45897.45139113426</v>
      </c>
      <c r="B223" s="118">
        <v>45896.0</v>
      </c>
      <c r="C223" s="119" t="s">
        <v>757</v>
      </c>
      <c r="D223" s="119">
        <v>5.0</v>
      </c>
      <c r="E223" s="119" t="s">
        <v>687</v>
      </c>
      <c r="F223" s="119" t="s">
        <v>1079</v>
      </c>
    </row>
    <row r="224" ht="22.5" customHeight="1">
      <c r="A224" s="117">
        <v>45897.45182768519</v>
      </c>
      <c r="B224" s="118">
        <v>45896.0</v>
      </c>
      <c r="C224" s="119" t="s">
        <v>715</v>
      </c>
      <c r="D224" s="119">
        <v>5.0</v>
      </c>
      <c r="E224" s="119" t="s">
        <v>687</v>
      </c>
      <c r="F224" s="119" t="s">
        <v>1079</v>
      </c>
    </row>
    <row r="225" ht="22.5" customHeight="1">
      <c r="A225" s="117">
        <v>45897.452487766204</v>
      </c>
      <c r="B225" s="118">
        <v>45896.0</v>
      </c>
      <c r="C225" s="119" t="s">
        <v>775</v>
      </c>
      <c r="D225" s="119">
        <v>5.0</v>
      </c>
      <c r="E225" s="119" t="s">
        <v>687</v>
      </c>
      <c r="F225" s="119" t="s">
        <v>1083</v>
      </c>
    </row>
    <row r="226" ht="22.5" customHeight="1">
      <c r="A226" s="117">
        <v>45897.453013125</v>
      </c>
      <c r="B226" s="118">
        <v>45896.0</v>
      </c>
      <c r="C226" s="119" t="s">
        <v>697</v>
      </c>
      <c r="D226" s="119">
        <v>5.0</v>
      </c>
      <c r="E226" s="119" t="s">
        <v>687</v>
      </c>
      <c r="F226" s="119" t="s">
        <v>1079</v>
      </c>
    </row>
    <row r="227" ht="22.5" customHeight="1">
      <c r="A227" s="117">
        <v>45897.45428252315</v>
      </c>
      <c r="B227" s="118">
        <v>45896.0</v>
      </c>
      <c r="C227" s="119" t="s">
        <v>703</v>
      </c>
      <c r="D227" s="119">
        <v>5.0</v>
      </c>
      <c r="E227" s="119" t="s">
        <v>687</v>
      </c>
      <c r="F227" s="119" t="s">
        <v>1079</v>
      </c>
    </row>
    <row r="228" ht="22.5" customHeight="1">
      <c r="A228" s="117">
        <v>45897.45481321759</v>
      </c>
      <c r="B228" s="118">
        <v>45896.0</v>
      </c>
      <c r="C228" s="119" t="s">
        <v>745</v>
      </c>
      <c r="D228" s="119">
        <v>5.0</v>
      </c>
      <c r="E228" s="119" t="s">
        <v>687</v>
      </c>
      <c r="F228" s="119" t="s">
        <v>1079</v>
      </c>
    </row>
    <row r="229" ht="22.5" customHeight="1">
      <c r="A229" s="117">
        <v>45897.45523924768</v>
      </c>
      <c r="B229" s="118">
        <v>45896.0</v>
      </c>
      <c r="C229" s="119" t="s">
        <v>763</v>
      </c>
      <c r="D229" s="119">
        <v>5.0</v>
      </c>
      <c r="E229" s="119" t="s">
        <v>687</v>
      </c>
      <c r="F229" s="119" t="s">
        <v>1079</v>
      </c>
    </row>
    <row r="230" ht="22.5" customHeight="1">
      <c r="A230" s="117">
        <v>45897.455591412036</v>
      </c>
      <c r="B230" s="118">
        <v>45896.0</v>
      </c>
      <c r="C230" s="119" t="s">
        <v>683</v>
      </c>
      <c r="D230" s="119">
        <v>5.0</v>
      </c>
      <c r="E230" s="119" t="s">
        <v>687</v>
      </c>
      <c r="F230" s="119" t="s">
        <v>1079</v>
      </c>
    </row>
    <row r="231" ht="22.5" customHeight="1">
      <c r="A231" s="117">
        <v>45897.455833263884</v>
      </c>
      <c r="B231" s="118">
        <v>45896.0</v>
      </c>
      <c r="C231" s="119" t="s">
        <v>781</v>
      </c>
      <c r="D231" s="119">
        <v>5.0</v>
      </c>
      <c r="E231" s="119" t="s">
        <v>687</v>
      </c>
      <c r="F231" s="119" t="s">
        <v>1079</v>
      </c>
    </row>
    <row r="232" ht="22.5" customHeight="1">
      <c r="A232" s="117">
        <v>45897.45630677084</v>
      </c>
      <c r="B232" s="118">
        <v>45896.0</v>
      </c>
      <c r="C232" s="119" t="s">
        <v>811</v>
      </c>
      <c r="D232" s="119">
        <v>5.0</v>
      </c>
      <c r="E232" s="119" t="s">
        <v>687</v>
      </c>
      <c r="F232" s="119" t="s">
        <v>1079</v>
      </c>
    </row>
    <row r="233" ht="22.5" customHeight="1">
      <c r="A233" s="117">
        <v>45897.45879493056</v>
      </c>
      <c r="B233" s="118">
        <v>45895.0</v>
      </c>
      <c r="C233" s="119" t="s">
        <v>831</v>
      </c>
      <c r="D233" s="119">
        <v>50.0</v>
      </c>
      <c r="E233" s="119" t="s">
        <v>687</v>
      </c>
      <c r="F233" s="119" t="s">
        <v>1079</v>
      </c>
    </row>
    <row r="234" ht="22.5" customHeight="1">
      <c r="A234" s="117">
        <v>45897.45963964121</v>
      </c>
      <c r="B234" s="118">
        <v>45895.0</v>
      </c>
      <c r="C234" s="119" t="s">
        <v>155</v>
      </c>
      <c r="D234" s="119">
        <v>2.5</v>
      </c>
      <c r="E234" s="119" t="s">
        <v>1073</v>
      </c>
      <c r="F234" s="119" t="s">
        <v>1079</v>
      </c>
    </row>
    <row r="235" ht="22.5" customHeight="1">
      <c r="A235" s="117">
        <v>45897.462753472224</v>
      </c>
      <c r="B235" s="118">
        <v>45895.0</v>
      </c>
      <c r="C235" s="119" t="s">
        <v>464</v>
      </c>
      <c r="D235" s="119">
        <v>10.0</v>
      </c>
      <c r="E235" s="119" t="s">
        <v>1073</v>
      </c>
      <c r="F235" s="119" t="s">
        <v>1079</v>
      </c>
    </row>
    <row r="236" ht="22.5" customHeight="1">
      <c r="A236" s="117">
        <v>45897.46321112268</v>
      </c>
      <c r="B236" s="118">
        <v>45894.0</v>
      </c>
      <c r="C236" s="119" t="s">
        <v>464</v>
      </c>
      <c r="D236" s="119">
        <v>25.0</v>
      </c>
      <c r="E236" s="119" t="s">
        <v>1073</v>
      </c>
      <c r="F236" s="119" t="s">
        <v>1079</v>
      </c>
    </row>
    <row r="237" ht="22.5" customHeight="1">
      <c r="A237" s="117">
        <v>45897.46389690972</v>
      </c>
      <c r="B237" s="118">
        <v>45894.0</v>
      </c>
      <c r="C237" s="119" t="s">
        <v>155</v>
      </c>
      <c r="D237" s="119">
        <v>5.0</v>
      </c>
      <c r="E237" s="119" t="s">
        <v>1073</v>
      </c>
      <c r="F237" s="119" t="s">
        <v>1079</v>
      </c>
    </row>
    <row r="238" ht="22.5" customHeight="1">
      <c r="A238" s="117">
        <v>45897.46453519676</v>
      </c>
      <c r="B238" s="118">
        <v>45894.0</v>
      </c>
      <c r="C238" s="119" t="s">
        <v>831</v>
      </c>
      <c r="D238" s="119">
        <v>25.0</v>
      </c>
      <c r="E238" s="119" t="s">
        <v>687</v>
      </c>
      <c r="F238" s="119" t="s">
        <v>1079</v>
      </c>
    </row>
    <row r="239" ht="22.5" customHeight="1">
      <c r="A239" s="117">
        <v>45897.46644502315</v>
      </c>
      <c r="B239" s="118">
        <v>45891.0</v>
      </c>
      <c r="C239" s="119" t="s">
        <v>831</v>
      </c>
      <c r="D239" s="119">
        <v>75.0</v>
      </c>
      <c r="E239" s="119" t="s">
        <v>687</v>
      </c>
      <c r="F239" s="119" t="s">
        <v>1079</v>
      </c>
    </row>
    <row r="240" ht="22.5" customHeight="1">
      <c r="A240" s="117">
        <v>45897.4668953588</v>
      </c>
      <c r="B240" s="118">
        <v>45891.0</v>
      </c>
      <c r="C240" s="119" t="s">
        <v>155</v>
      </c>
      <c r="D240" s="119">
        <v>5.0</v>
      </c>
      <c r="E240" s="119" t="s">
        <v>1073</v>
      </c>
      <c r="F240" s="119" t="s">
        <v>1079</v>
      </c>
    </row>
    <row r="241" ht="22.5" customHeight="1">
      <c r="A241" s="117">
        <v>45897.46732555555</v>
      </c>
      <c r="B241" s="118">
        <v>45891.0</v>
      </c>
      <c r="C241" s="119" t="s">
        <v>464</v>
      </c>
      <c r="D241" s="119">
        <v>25.0</v>
      </c>
      <c r="E241" s="119" t="s">
        <v>1073</v>
      </c>
      <c r="F241" s="119" t="s">
        <v>1079</v>
      </c>
    </row>
    <row r="242" ht="22.5" customHeight="1">
      <c r="A242" s="117">
        <v>45897.47005700231</v>
      </c>
      <c r="B242" s="118">
        <v>45890.0</v>
      </c>
      <c r="C242" s="119" t="s">
        <v>155</v>
      </c>
      <c r="D242" s="119">
        <v>5.0</v>
      </c>
      <c r="E242" s="119" t="s">
        <v>1073</v>
      </c>
      <c r="F242" s="119" t="s">
        <v>1079</v>
      </c>
    </row>
    <row r="243" ht="22.5" customHeight="1">
      <c r="A243" s="117">
        <v>45897.47041959491</v>
      </c>
      <c r="B243" s="118">
        <v>45890.0</v>
      </c>
      <c r="C243" s="119" t="s">
        <v>464</v>
      </c>
      <c r="D243" s="119">
        <v>25.0</v>
      </c>
      <c r="E243" s="119" t="s">
        <v>1073</v>
      </c>
      <c r="F243" s="119" t="s">
        <v>1079</v>
      </c>
    </row>
    <row r="244" ht="22.5" customHeight="1">
      <c r="A244" s="117">
        <v>45897.47160851852</v>
      </c>
      <c r="B244" s="118">
        <v>45890.0</v>
      </c>
      <c r="C244" s="119" t="s">
        <v>831</v>
      </c>
      <c r="D244" s="119">
        <v>75.0</v>
      </c>
      <c r="E244" s="119" t="s">
        <v>687</v>
      </c>
      <c r="F244" s="119" t="s">
        <v>1079</v>
      </c>
    </row>
    <row r="245" ht="22.5" customHeight="1">
      <c r="A245" s="117">
        <v>45897.47266269676</v>
      </c>
      <c r="B245" s="118">
        <v>45889.0</v>
      </c>
      <c r="C245" s="119" t="s">
        <v>831</v>
      </c>
      <c r="D245" s="119">
        <v>271.0</v>
      </c>
      <c r="E245" s="119" t="s">
        <v>687</v>
      </c>
      <c r="F245" s="119" t="s">
        <v>1079</v>
      </c>
    </row>
    <row r="246" ht="22.5" customHeight="1">
      <c r="A246" s="117">
        <v>45897.474053356476</v>
      </c>
      <c r="B246" s="118">
        <v>45889.0</v>
      </c>
      <c r="C246" s="119" t="s">
        <v>155</v>
      </c>
      <c r="D246" s="119">
        <v>2.5</v>
      </c>
      <c r="E246" s="119" t="s">
        <v>1073</v>
      </c>
      <c r="F246" s="119" t="s">
        <v>1079</v>
      </c>
    </row>
    <row r="247" ht="22.5" customHeight="1">
      <c r="A247" s="117">
        <v>45897.47449574074</v>
      </c>
      <c r="B247" s="118">
        <v>45889.0</v>
      </c>
      <c r="C247" s="119" t="s">
        <v>464</v>
      </c>
      <c r="D247" s="119">
        <v>10.0</v>
      </c>
      <c r="E247" s="119" t="s">
        <v>1073</v>
      </c>
      <c r="F247" s="119" t="s">
        <v>1079</v>
      </c>
    </row>
    <row r="248" ht="22.5" customHeight="1">
      <c r="A248" s="117">
        <v>45897.47566768518</v>
      </c>
      <c r="B248" s="118">
        <v>45888.0</v>
      </c>
      <c r="C248" s="119" t="s">
        <v>831</v>
      </c>
      <c r="D248" s="119">
        <v>204.0</v>
      </c>
      <c r="E248" s="119" t="s">
        <v>687</v>
      </c>
      <c r="F248" s="119" t="s">
        <v>1079</v>
      </c>
    </row>
    <row r="249" ht="22.5" customHeight="1">
      <c r="A249" s="117">
        <v>45897.476023993055</v>
      </c>
      <c r="B249" s="118">
        <v>45888.0</v>
      </c>
      <c r="C249" s="119" t="s">
        <v>155</v>
      </c>
      <c r="D249" s="119">
        <v>7.5</v>
      </c>
      <c r="E249" s="119" t="s">
        <v>1073</v>
      </c>
      <c r="F249" s="119" t="s">
        <v>1079</v>
      </c>
    </row>
    <row r="250" ht="22.5" customHeight="1">
      <c r="A250" s="117">
        <v>45897.47664569445</v>
      </c>
      <c r="B250" s="118">
        <v>45888.0</v>
      </c>
      <c r="C250" s="119" t="s">
        <v>464</v>
      </c>
      <c r="D250" s="119">
        <v>15.0</v>
      </c>
      <c r="E250" s="119" t="s">
        <v>1073</v>
      </c>
      <c r="F250" s="119" t="s">
        <v>1079</v>
      </c>
    </row>
    <row r="251" ht="22.5" customHeight="1">
      <c r="A251" s="117">
        <v>45897.47891365741</v>
      </c>
      <c r="B251" s="118">
        <v>45887.0</v>
      </c>
      <c r="C251" s="119" t="s">
        <v>792</v>
      </c>
      <c r="D251" s="119">
        <v>10.0</v>
      </c>
      <c r="E251" s="119" t="s">
        <v>687</v>
      </c>
      <c r="F251" s="119" t="s">
        <v>1079</v>
      </c>
    </row>
    <row r="252" ht="22.5" customHeight="1">
      <c r="A252" s="117">
        <v>45897.47939313657</v>
      </c>
      <c r="B252" s="118">
        <v>45887.0</v>
      </c>
      <c r="C252" s="119" t="s">
        <v>709</v>
      </c>
      <c r="D252" s="119">
        <v>10.0</v>
      </c>
      <c r="E252" s="119" t="s">
        <v>687</v>
      </c>
      <c r="F252" s="119" t="s">
        <v>1079</v>
      </c>
    </row>
    <row r="253" ht="22.5" customHeight="1">
      <c r="A253" s="117">
        <v>45897.4797262037</v>
      </c>
      <c r="B253" s="118">
        <v>45887.0</v>
      </c>
      <c r="C253" s="119" t="s">
        <v>751</v>
      </c>
      <c r="D253" s="119">
        <v>15.0</v>
      </c>
      <c r="E253" s="119" t="s">
        <v>687</v>
      </c>
      <c r="F253" s="119" t="s">
        <v>1079</v>
      </c>
    </row>
    <row r="254" ht="22.5" customHeight="1">
      <c r="A254" s="117">
        <v>45897.48097118056</v>
      </c>
      <c r="B254" s="118">
        <v>45887.0</v>
      </c>
      <c r="C254" s="119" t="s">
        <v>831</v>
      </c>
      <c r="D254" s="119">
        <v>475.0</v>
      </c>
      <c r="E254" s="119" t="s">
        <v>687</v>
      </c>
      <c r="F254" s="119" t="s">
        <v>1079</v>
      </c>
    </row>
    <row r="255" ht="22.5" customHeight="1">
      <c r="A255" s="117">
        <v>45897.634941076394</v>
      </c>
      <c r="B255" s="118">
        <v>45897.0</v>
      </c>
      <c r="C255" s="119" t="s">
        <v>888</v>
      </c>
      <c r="D255" s="119">
        <v>20.0</v>
      </c>
      <c r="E255" s="119" t="s">
        <v>687</v>
      </c>
      <c r="F255" s="119" t="s">
        <v>1080</v>
      </c>
    </row>
    <row r="256" ht="22.5" customHeight="1">
      <c r="A256" s="117">
        <v>45897.635332997685</v>
      </c>
      <c r="B256" s="118">
        <v>45897.0</v>
      </c>
      <c r="C256" s="119" t="s">
        <v>888</v>
      </c>
      <c r="D256" s="119">
        <v>20.0</v>
      </c>
      <c r="E256" s="119" t="s">
        <v>687</v>
      </c>
      <c r="F256" s="119" t="s">
        <v>1080</v>
      </c>
    </row>
    <row r="257" ht="22.5" customHeight="1">
      <c r="A257" s="117">
        <v>45897.63624366898</v>
      </c>
      <c r="B257" s="118">
        <v>45895.0</v>
      </c>
      <c r="C257" s="119" t="s">
        <v>751</v>
      </c>
      <c r="D257" s="119">
        <v>15.0</v>
      </c>
      <c r="E257" s="119" t="s">
        <v>687</v>
      </c>
      <c r="F257" s="119" t="s">
        <v>1081</v>
      </c>
    </row>
    <row r="258" ht="22.5" customHeight="1">
      <c r="A258" s="117">
        <v>45897.63969402778</v>
      </c>
      <c r="B258" s="118">
        <v>45842.0</v>
      </c>
      <c r="C258" s="119" t="s">
        <v>888</v>
      </c>
      <c r="D258" s="119">
        <v>20.0</v>
      </c>
      <c r="E258" s="119" t="s">
        <v>687</v>
      </c>
      <c r="F258" s="119" t="s">
        <v>1076</v>
      </c>
    </row>
    <row r="259" ht="22.5" customHeight="1">
      <c r="A259" s="117">
        <v>45897.640238576394</v>
      </c>
      <c r="B259" s="118">
        <v>45853.0</v>
      </c>
      <c r="C259" s="119" t="s">
        <v>888</v>
      </c>
      <c r="D259" s="119">
        <v>20.0</v>
      </c>
      <c r="E259" s="119" t="s">
        <v>687</v>
      </c>
      <c r="F259" s="119" t="s">
        <v>1076</v>
      </c>
    </row>
    <row r="260" ht="22.5" customHeight="1">
      <c r="A260" s="117">
        <v>45897.64078457176</v>
      </c>
      <c r="B260" s="118">
        <v>45880.0</v>
      </c>
      <c r="C260" s="119" t="s">
        <v>888</v>
      </c>
      <c r="D260" s="119">
        <v>20.0</v>
      </c>
      <c r="E260" s="119" t="s">
        <v>687</v>
      </c>
      <c r="F260" s="119" t="s">
        <v>1076</v>
      </c>
    </row>
    <row r="261" ht="22.5" customHeight="1">
      <c r="A261" s="117">
        <v>45897.64120629629</v>
      </c>
      <c r="B261" s="118">
        <v>45888.0</v>
      </c>
      <c r="C261" s="119" t="s">
        <v>888</v>
      </c>
      <c r="D261" s="119">
        <v>20.0</v>
      </c>
      <c r="E261" s="119" t="s">
        <v>687</v>
      </c>
      <c r="F261" s="119" t="s">
        <v>1076</v>
      </c>
    </row>
    <row r="262" ht="22.5" customHeight="1">
      <c r="A262" s="117">
        <v>45897.6436696875</v>
      </c>
      <c r="B262" s="118">
        <v>45891.0</v>
      </c>
      <c r="C262" s="119" t="s">
        <v>817</v>
      </c>
      <c r="D262" s="119">
        <v>100.0</v>
      </c>
      <c r="E262" s="119" t="s">
        <v>687</v>
      </c>
      <c r="F262" s="119" t="s">
        <v>1076</v>
      </c>
    </row>
    <row r="263" ht="22.5" customHeight="1">
      <c r="A263" s="117">
        <v>45897.64437443287</v>
      </c>
      <c r="B263" s="118">
        <v>45891.0</v>
      </c>
      <c r="C263" s="119" t="s">
        <v>831</v>
      </c>
      <c r="D263" s="119">
        <v>40.0</v>
      </c>
      <c r="E263" s="119" t="s">
        <v>687</v>
      </c>
      <c r="F263" s="119" t="s">
        <v>1076</v>
      </c>
    </row>
    <row r="264" ht="22.5" customHeight="1">
      <c r="A264" s="117">
        <v>45897.645385173615</v>
      </c>
      <c r="B264" s="118">
        <v>45891.0</v>
      </c>
      <c r="C264" s="119" t="s">
        <v>155</v>
      </c>
      <c r="D264" s="119">
        <v>5.0</v>
      </c>
      <c r="E264" s="119" t="s">
        <v>1073</v>
      </c>
      <c r="F264" s="119" t="s">
        <v>1076</v>
      </c>
    </row>
    <row r="265" ht="22.5" customHeight="1">
      <c r="A265" s="117">
        <v>45897.64665614584</v>
      </c>
      <c r="B265" s="118">
        <v>45891.0</v>
      </c>
      <c r="C265" s="119" t="s">
        <v>464</v>
      </c>
      <c r="D265" s="119">
        <v>30.0</v>
      </c>
      <c r="E265" s="119" t="s">
        <v>1073</v>
      </c>
      <c r="F265" s="119" t="s">
        <v>1076</v>
      </c>
    </row>
    <row r="266" ht="22.5" customHeight="1">
      <c r="A266" s="117">
        <v>45898.581938483796</v>
      </c>
      <c r="B266" s="118">
        <v>45898.0</v>
      </c>
      <c r="C266" s="119" t="s">
        <v>837</v>
      </c>
      <c r="D266" s="119">
        <v>150.0</v>
      </c>
      <c r="E266" s="119" t="s">
        <v>687</v>
      </c>
      <c r="F266" s="119" t="s">
        <v>1077</v>
      </c>
    </row>
    <row r="267" ht="22.5" customHeight="1">
      <c r="A267" s="117">
        <v>45901.49556225694</v>
      </c>
      <c r="B267" s="118">
        <v>45901.0</v>
      </c>
      <c r="C267" s="119" t="s">
        <v>831</v>
      </c>
      <c r="D267" s="119">
        <v>12.5</v>
      </c>
      <c r="E267" s="119" t="s">
        <v>687</v>
      </c>
      <c r="F267" s="119" t="s">
        <v>1079</v>
      </c>
    </row>
    <row r="268" ht="22.5" customHeight="1">
      <c r="A268" s="117">
        <v>45901.496290069445</v>
      </c>
      <c r="B268" s="118">
        <v>45901.0</v>
      </c>
      <c r="C268" s="119" t="s">
        <v>155</v>
      </c>
      <c r="D268" s="119">
        <v>2.5</v>
      </c>
      <c r="E268" s="119" t="s">
        <v>1073</v>
      </c>
      <c r="F268" s="119" t="s">
        <v>1079</v>
      </c>
    </row>
    <row r="269" ht="22.5" customHeight="1">
      <c r="A269" s="117">
        <v>45901.49728457176</v>
      </c>
      <c r="B269" s="118">
        <v>45901.0</v>
      </c>
      <c r="C269" s="119" t="s">
        <v>464</v>
      </c>
      <c r="D269" s="119">
        <v>10.0</v>
      </c>
      <c r="E269" s="119" t="s">
        <v>1073</v>
      </c>
      <c r="F269" s="119" t="s">
        <v>1079</v>
      </c>
    </row>
    <row r="270" ht="22.5" customHeight="1">
      <c r="A270" s="117">
        <v>45902.62618173611</v>
      </c>
      <c r="B270" s="118">
        <v>45902.0</v>
      </c>
      <c r="C270" s="119" t="s">
        <v>470</v>
      </c>
      <c r="D270" s="119">
        <v>4.085</v>
      </c>
      <c r="E270" s="119" t="s">
        <v>1073</v>
      </c>
      <c r="F270" s="119" t="s">
        <v>1085</v>
      </c>
    </row>
    <row r="271" ht="22.5" customHeight="1">
      <c r="A271" s="117">
        <v>45903.66087723379</v>
      </c>
      <c r="B271" s="118">
        <v>45903.0</v>
      </c>
      <c r="C271" s="119" t="s">
        <v>888</v>
      </c>
      <c r="D271" s="119">
        <v>20.0</v>
      </c>
      <c r="E271" s="119" t="s">
        <v>687</v>
      </c>
      <c r="F271" s="119" t="s">
        <v>1076</v>
      </c>
    </row>
    <row r="272" ht="22.5" customHeight="1">
      <c r="A272" s="117">
        <v>45910.694526817126</v>
      </c>
      <c r="B272" s="118">
        <v>45908.0</v>
      </c>
      <c r="C272" s="119" t="s">
        <v>470</v>
      </c>
      <c r="D272" s="119">
        <v>8.035</v>
      </c>
      <c r="E272" s="119" t="s">
        <v>1073</v>
      </c>
      <c r="F272" s="119" t="s">
        <v>1084</v>
      </c>
    </row>
    <row r="273" ht="22.5" customHeight="1">
      <c r="A273" s="117">
        <v>45910.69643116898</v>
      </c>
      <c r="B273" s="118">
        <v>45909.0</v>
      </c>
      <c r="C273" s="119" t="s">
        <v>566</v>
      </c>
      <c r="D273" s="119">
        <v>1.0</v>
      </c>
      <c r="E273" s="119" t="s">
        <v>562</v>
      </c>
      <c r="F273" s="119" t="s">
        <v>1084</v>
      </c>
    </row>
    <row r="274" ht="22.5" customHeight="1">
      <c r="A274" s="117">
        <v>45910.69692564815</v>
      </c>
      <c r="B274" s="118">
        <v>45909.0</v>
      </c>
      <c r="C274" s="119" t="s">
        <v>572</v>
      </c>
      <c r="D274" s="119">
        <v>2.0</v>
      </c>
      <c r="E274" s="119" t="s">
        <v>562</v>
      </c>
      <c r="F274" s="119" t="s">
        <v>1084</v>
      </c>
    </row>
    <row r="275" ht="22.5" customHeight="1">
      <c r="A275" s="117">
        <v>45910.69742819444</v>
      </c>
      <c r="B275" s="118">
        <v>45909.0</v>
      </c>
      <c r="C275" s="119" t="s">
        <v>532</v>
      </c>
      <c r="D275" s="119">
        <v>2.0</v>
      </c>
      <c r="E275" s="119" t="s">
        <v>562</v>
      </c>
      <c r="F275" s="119" t="s">
        <v>1084</v>
      </c>
    </row>
    <row r="276" ht="22.5" customHeight="1">
      <c r="A276" s="117">
        <v>45916.6588119213</v>
      </c>
      <c r="B276" s="118">
        <v>45916.0</v>
      </c>
      <c r="C276" s="119" t="s">
        <v>566</v>
      </c>
      <c r="D276" s="119">
        <v>2.0</v>
      </c>
      <c r="E276" s="119" t="s">
        <v>562</v>
      </c>
      <c r="F276" s="119" t="s">
        <v>1084</v>
      </c>
    </row>
    <row r="277" ht="22.5" customHeight="1">
      <c r="A277" s="117">
        <v>45916.65938362268</v>
      </c>
      <c r="B277" s="118">
        <v>45916.0</v>
      </c>
      <c r="C277" s="119" t="s">
        <v>572</v>
      </c>
      <c r="D277" s="119">
        <v>2.0</v>
      </c>
      <c r="E277" s="119" t="s">
        <v>562</v>
      </c>
      <c r="F277" s="119" t="s">
        <v>1084</v>
      </c>
    </row>
    <row r="278" ht="22.5" customHeight="1">
      <c r="A278" s="117">
        <v>45916.65989461806</v>
      </c>
      <c r="B278" s="118">
        <v>45916.0</v>
      </c>
      <c r="C278" s="119" t="s">
        <v>311</v>
      </c>
      <c r="D278" s="119">
        <v>9.038</v>
      </c>
      <c r="E278" s="119" t="s">
        <v>1073</v>
      </c>
      <c r="F278" s="119" t="s">
        <v>1084</v>
      </c>
    </row>
    <row r="279" ht="22.5" customHeight="1">
      <c r="A279" s="117">
        <v>45916.6606284375</v>
      </c>
      <c r="B279" s="118">
        <v>45916.0</v>
      </c>
      <c r="C279" s="119" t="s">
        <v>476</v>
      </c>
      <c r="D279" s="119">
        <v>2.598</v>
      </c>
      <c r="E279" s="119" t="s">
        <v>1073</v>
      </c>
      <c r="F279" s="119" t="s">
        <v>1084</v>
      </c>
    </row>
    <row r="280" ht="22.5" customHeight="1">
      <c r="A280" s="117">
        <v>45918.36777729167</v>
      </c>
      <c r="B280" s="118">
        <v>45917.0</v>
      </c>
      <c r="C280" s="119" t="s">
        <v>470</v>
      </c>
      <c r="D280" s="119">
        <v>8.23</v>
      </c>
      <c r="E280" s="119" t="s">
        <v>1073</v>
      </c>
      <c r="F280" s="119" t="s">
        <v>1084</v>
      </c>
    </row>
    <row r="281" ht="22.5" customHeight="1">
      <c r="A281" s="117">
        <v>45918.36851513889</v>
      </c>
      <c r="B281" s="118">
        <v>45917.0</v>
      </c>
      <c r="C281" s="119" t="s">
        <v>532</v>
      </c>
      <c r="D281" s="119">
        <v>1.0</v>
      </c>
      <c r="E281" s="119" t="s">
        <v>562</v>
      </c>
      <c r="F281" s="119" t="s">
        <v>1084</v>
      </c>
    </row>
    <row r="282" ht="22.5" customHeight="1">
      <c r="A282" s="117">
        <v>45918.62970980324</v>
      </c>
      <c r="B282" s="118">
        <v>45918.0</v>
      </c>
      <c r="C282" s="119" t="s">
        <v>532</v>
      </c>
      <c r="D282" s="119">
        <v>1.0</v>
      </c>
      <c r="E282" s="119" t="s">
        <v>562</v>
      </c>
      <c r="F282" s="119" t="s">
        <v>1084</v>
      </c>
    </row>
    <row r="283" ht="22.5" customHeight="1">
      <c r="A283" s="117">
        <v>45923.367673217595</v>
      </c>
      <c r="B283" s="118">
        <v>45922.0</v>
      </c>
      <c r="C283" s="119" t="s">
        <v>944</v>
      </c>
      <c r="D283" s="119">
        <v>2.0</v>
      </c>
      <c r="E283" s="119" t="s">
        <v>562</v>
      </c>
      <c r="F283" s="119" t="s">
        <v>1084</v>
      </c>
    </row>
    <row r="284" ht="22.5" customHeight="1">
      <c r="A284" s="117">
        <v>45923.69070931713</v>
      </c>
      <c r="B284" s="118">
        <v>45923.0</v>
      </c>
      <c r="C284" s="119" t="s">
        <v>532</v>
      </c>
      <c r="D284" s="119">
        <v>2.0</v>
      </c>
      <c r="E284" s="119" t="s">
        <v>562</v>
      </c>
      <c r="F284" s="119" t="s">
        <v>1084</v>
      </c>
    </row>
    <row r="285" ht="22.5" customHeight="1">
      <c r="A285" s="117">
        <v>45925.72129538194</v>
      </c>
      <c r="B285" s="118">
        <v>45924.0</v>
      </c>
      <c r="C285" s="119" t="s">
        <v>532</v>
      </c>
      <c r="D285" s="119">
        <v>2.0</v>
      </c>
      <c r="E285" s="119" t="s">
        <v>562</v>
      </c>
      <c r="F285" s="119" t="s">
        <v>1084</v>
      </c>
    </row>
    <row r="286" ht="22.5" customHeight="1">
      <c r="A286" s="117">
        <v>45925.72225472222</v>
      </c>
      <c r="B286" s="118">
        <v>45925.0</v>
      </c>
      <c r="C286" s="119" t="s">
        <v>532</v>
      </c>
      <c r="D286" s="119">
        <v>7.0</v>
      </c>
      <c r="E286" s="119" t="s">
        <v>562</v>
      </c>
      <c r="F286" s="119" t="s">
        <v>1084</v>
      </c>
    </row>
    <row r="287" ht="22.5" customHeight="1">
      <c r="A287" s="117">
        <v>45925.722631956014</v>
      </c>
      <c r="B287" s="118">
        <v>45925.0</v>
      </c>
      <c r="C287" s="119" t="s">
        <v>566</v>
      </c>
      <c r="D287" s="119">
        <v>7.0</v>
      </c>
      <c r="E287" s="119" t="s">
        <v>562</v>
      </c>
      <c r="F287" s="119" t="s">
        <v>1084</v>
      </c>
    </row>
    <row r="288" ht="22.5" customHeight="1">
      <c r="A288" s="117">
        <v>45925.72316087963</v>
      </c>
      <c r="B288" s="118">
        <v>45925.0</v>
      </c>
      <c r="C288" s="119" t="s">
        <v>572</v>
      </c>
      <c r="D288" s="119">
        <v>7.0</v>
      </c>
      <c r="E288" s="119" t="s">
        <v>562</v>
      </c>
      <c r="F288" s="119" t="s">
        <v>1084</v>
      </c>
    </row>
    <row r="289" ht="22.5" customHeight="1">
      <c r="A289" s="117">
        <v>45931.70634849537</v>
      </c>
      <c r="B289" s="118">
        <v>45931.0</v>
      </c>
      <c r="C289" s="119" t="s">
        <v>898</v>
      </c>
      <c r="D289" s="119">
        <v>40.0</v>
      </c>
      <c r="E289" s="119" t="s">
        <v>687</v>
      </c>
      <c r="F289" s="119" t="s">
        <v>1076</v>
      </c>
    </row>
    <row r="290" ht="22.5" customHeight="1">
      <c r="A290" s="117">
        <v>45931.70722140046</v>
      </c>
      <c r="B290" s="118">
        <v>45931.0</v>
      </c>
      <c r="C290" s="119" t="s">
        <v>882</v>
      </c>
      <c r="D290" s="119">
        <v>5.0</v>
      </c>
      <c r="E290" s="119" t="s">
        <v>687</v>
      </c>
      <c r="F290" s="119" t="s">
        <v>1079</v>
      </c>
    </row>
    <row r="291" ht="22.5" customHeight="1">
      <c r="A291" s="117">
        <v>45931.71275104166</v>
      </c>
      <c r="B291" s="118">
        <v>45931.0</v>
      </c>
      <c r="C291" s="119" t="s">
        <v>798</v>
      </c>
      <c r="D291" s="119">
        <v>55.0</v>
      </c>
      <c r="E291" s="119" t="s">
        <v>687</v>
      </c>
      <c r="F291" s="119" t="s">
        <v>1086</v>
      </c>
    </row>
    <row r="292" ht="22.5" customHeight="1">
      <c r="A292" s="117">
        <v>45932.38154094908</v>
      </c>
      <c r="B292" s="118">
        <v>45931.0</v>
      </c>
      <c r="C292" s="119" t="s">
        <v>532</v>
      </c>
      <c r="D292" s="119">
        <v>10.0</v>
      </c>
      <c r="E292" s="119" t="s">
        <v>562</v>
      </c>
      <c r="F292" s="119" t="s">
        <v>1084</v>
      </c>
    </row>
    <row r="293" ht="22.5" customHeight="1">
      <c r="A293" s="117">
        <v>45932.61508747685</v>
      </c>
      <c r="B293" s="118">
        <v>45932.0</v>
      </c>
      <c r="C293" s="119" t="s">
        <v>837</v>
      </c>
      <c r="D293" s="119">
        <v>60.0</v>
      </c>
      <c r="E293" s="119" t="s">
        <v>687</v>
      </c>
      <c r="F293" s="119" t="s">
        <v>1079</v>
      </c>
    </row>
    <row r="294" ht="22.5" customHeight="1">
      <c r="A294" s="117">
        <v>45936.32816880787</v>
      </c>
      <c r="B294" s="118">
        <v>45932.0</v>
      </c>
      <c r="C294" s="119" t="s">
        <v>52</v>
      </c>
      <c r="D294" s="119">
        <v>20.0</v>
      </c>
      <c r="E294" s="119" t="s">
        <v>1073</v>
      </c>
      <c r="F294" s="119" t="s">
        <v>1076</v>
      </c>
    </row>
    <row r="295" ht="22.5" customHeight="1">
      <c r="A295" s="117">
        <v>45936.32840832176</v>
      </c>
      <c r="B295" s="118">
        <v>45932.0</v>
      </c>
      <c r="C295" s="119" t="s">
        <v>31</v>
      </c>
      <c r="D295" s="119">
        <v>50.0</v>
      </c>
      <c r="E295" s="119" t="s">
        <v>1073</v>
      </c>
      <c r="F295" s="119" t="s">
        <v>1076</v>
      </c>
    </row>
    <row r="296" ht="22.5" customHeight="1">
      <c r="A296" s="117">
        <v>45936.57025605324</v>
      </c>
      <c r="B296" s="118">
        <v>45936.0</v>
      </c>
      <c r="C296" s="119" t="s">
        <v>395</v>
      </c>
      <c r="D296" s="119">
        <v>0.3335</v>
      </c>
      <c r="E296" s="119" t="s">
        <v>1073</v>
      </c>
      <c r="F296" s="119" t="s">
        <v>1087</v>
      </c>
    </row>
    <row r="297" ht="22.5" customHeight="1">
      <c r="A297" s="117">
        <v>45936.57129825231</v>
      </c>
      <c r="B297" s="118">
        <v>45936.0</v>
      </c>
      <c r="C297" s="119" t="s">
        <v>260</v>
      </c>
      <c r="D297" s="119">
        <v>0.616</v>
      </c>
      <c r="E297" s="119" t="s">
        <v>1073</v>
      </c>
      <c r="F297" s="119" t="s">
        <v>1087</v>
      </c>
    </row>
    <row r="298" ht="22.5" customHeight="1">
      <c r="A298" s="117">
        <v>45937.414310821754</v>
      </c>
      <c r="B298" s="118">
        <v>45936.0</v>
      </c>
      <c r="C298" s="119" t="s">
        <v>944</v>
      </c>
      <c r="D298" s="119">
        <v>2.0</v>
      </c>
      <c r="E298" s="119" t="s">
        <v>562</v>
      </c>
      <c r="F298" s="119" t="s">
        <v>1084</v>
      </c>
    </row>
    <row r="299" ht="22.5" customHeight="1">
      <c r="A299" s="117">
        <v>45938.35249752315</v>
      </c>
      <c r="B299" s="118">
        <v>45937.0</v>
      </c>
      <c r="C299" s="119" t="s">
        <v>476</v>
      </c>
      <c r="D299" s="119">
        <v>2.567</v>
      </c>
      <c r="E299" s="119" t="s">
        <v>1073</v>
      </c>
      <c r="F299" s="119" t="s">
        <v>1084</v>
      </c>
    </row>
    <row r="300" ht="22.5" customHeight="1">
      <c r="A300" s="117">
        <v>45938.353162604166</v>
      </c>
      <c r="B300" s="118">
        <v>45937.0</v>
      </c>
      <c r="C300" s="119" t="s">
        <v>470</v>
      </c>
      <c r="D300" s="119">
        <v>8.052</v>
      </c>
      <c r="E300" s="119" t="s">
        <v>1073</v>
      </c>
      <c r="F300" s="119" t="s">
        <v>1084</v>
      </c>
    </row>
    <row r="301" ht="22.5" customHeight="1">
      <c r="A301" s="117">
        <v>45940.359870370376</v>
      </c>
      <c r="B301" s="118">
        <v>45939.0</v>
      </c>
      <c r="C301" s="119" t="s">
        <v>538</v>
      </c>
      <c r="D301" s="119">
        <v>2.514</v>
      </c>
      <c r="E301" s="119" t="s">
        <v>1073</v>
      </c>
      <c r="F301" s="119" t="s">
        <v>1084</v>
      </c>
    </row>
    <row r="302" ht="22.5" customHeight="1">
      <c r="A302" s="117">
        <v>45944.354521319445</v>
      </c>
      <c r="B302" s="118">
        <v>45940.0</v>
      </c>
      <c r="C302" s="119" t="s">
        <v>974</v>
      </c>
      <c r="D302" s="119">
        <v>1.0</v>
      </c>
      <c r="E302" s="119" t="s">
        <v>687</v>
      </c>
      <c r="F302" s="119" t="s">
        <v>1084</v>
      </c>
    </row>
    <row r="303" ht="22.5" customHeight="1">
      <c r="A303" s="117">
        <v>45946.38811726852</v>
      </c>
      <c r="B303" s="118">
        <v>45945.0</v>
      </c>
      <c r="C303" s="119" t="s">
        <v>470</v>
      </c>
      <c r="D303" s="119">
        <v>8.012</v>
      </c>
      <c r="E303" s="119" t="s">
        <v>1073</v>
      </c>
      <c r="F303" s="119" t="s">
        <v>1084</v>
      </c>
    </row>
    <row r="304" ht="22.5" customHeight="1">
      <c r="A304" s="117">
        <v>45946.396567800926</v>
      </c>
      <c r="B304" s="118">
        <v>45945.0</v>
      </c>
      <c r="C304" s="119" t="s">
        <v>532</v>
      </c>
      <c r="D304" s="119">
        <v>4.0</v>
      </c>
      <c r="E304" s="119" t="s">
        <v>562</v>
      </c>
      <c r="F304" s="119" t="s">
        <v>1084</v>
      </c>
    </row>
    <row r="305" ht="22.5" customHeight="1">
      <c r="A305" s="117">
        <v>45947.63377497686</v>
      </c>
      <c r="B305" s="118">
        <v>45947.0</v>
      </c>
      <c r="C305" s="119" t="s">
        <v>163</v>
      </c>
      <c r="D305" s="119">
        <v>50.0</v>
      </c>
      <c r="E305" s="119" t="s">
        <v>1073</v>
      </c>
      <c r="F305" s="119" t="s">
        <v>1079</v>
      </c>
    </row>
    <row r="306" ht="22.5" customHeight="1">
      <c r="A306" s="117">
        <v>45947.634892835646</v>
      </c>
      <c r="B306" s="118">
        <v>45947.0</v>
      </c>
      <c r="C306" s="119" t="s">
        <v>300</v>
      </c>
      <c r="D306" s="119">
        <v>0.1</v>
      </c>
      <c r="E306" s="119" t="s">
        <v>1073</v>
      </c>
      <c r="F306" s="119" t="s">
        <v>1079</v>
      </c>
    </row>
    <row r="307" ht="22.5" customHeight="1">
      <c r="A307" s="117">
        <v>45947.64136260416</v>
      </c>
      <c r="B307" s="118">
        <v>45947.0</v>
      </c>
      <c r="C307" s="119" t="s">
        <v>850</v>
      </c>
      <c r="D307" s="119">
        <v>170.0</v>
      </c>
      <c r="E307" s="119" t="s">
        <v>687</v>
      </c>
      <c r="F307" s="119" t="s">
        <v>1079</v>
      </c>
    </row>
    <row r="308" ht="22.5" customHeight="1">
      <c r="A308" s="117">
        <v>45949.851430925926</v>
      </c>
      <c r="B308" s="118">
        <v>45947.0</v>
      </c>
      <c r="C308" s="119" t="s">
        <v>927</v>
      </c>
      <c r="D308" s="119">
        <v>1.0</v>
      </c>
      <c r="E308" s="119" t="s">
        <v>687</v>
      </c>
      <c r="F308" s="119" t="s">
        <v>1079</v>
      </c>
    </row>
    <row r="309" ht="22.5" customHeight="1">
      <c r="A309" s="117">
        <v>45949.866416053235</v>
      </c>
      <c r="B309" s="118">
        <v>45947.0</v>
      </c>
      <c r="C309" s="119" t="s">
        <v>369</v>
      </c>
      <c r="D309" s="119">
        <v>3.0</v>
      </c>
      <c r="E309" s="119" t="s">
        <v>1073</v>
      </c>
      <c r="F309" s="119" t="s">
        <v>1079</v>
      </c>
    </row>
    <row r="310" ht="22.5" customHeight="1">
      <c r="A310" s="117">
        <v>45949.91548928241</v>
      </c>
      <c r="B310" s="118">
        <v>45947.0</v>
      </c>
      <c r="C310" s="119" t="s">
        <v>170</v>
      </c>
      <c r="D310" s="119">
        <v>15.0</v>
      </c>
      <c r="E310" s="119" t="s">
        <v>1073</v>
      </c>
      <c r="F310" s="119" t="s">
        <v>1076</v>
      </c>
    </row>
    <row r="311" ht="22.5" customHeight="1">
      <c r="A311" s="117">
        <v>45949.91657407407</v>
      </c>
      <c r="B311" s="118">
        <v>45947.0</v>
      </c>
      <c r="C311" s="119" t="s">
        <v>225</v>
      </c>
      <c r="D311" s="119">
        <v>0.5</v>
      </c>
      <c r="E311" s="119" t="s">
        <v>1073</v>
      </c>
      <c r="F311" s="119" t="s">
        <v>1076</v>
      </c>
    </row>
    <row r="312" ht="22.5" customHeight="1">
      <c r="A312" s="117">
        <v>45949.918701828705</v>
      </c>
      <c r="B312" s="118">
        <v>45947.0</v>
      </c>
      <c r="C312" s="119" t="s">
        <v>155</v>
      </c>
      <c r="D312" s="119">
        <v>11.0</v>
      </c>
      <c r="E312" s="119" t="s">
        <v>1073</v>
      </c>
      <c r="F312" s="119" t="s">
        <v>1076</v>
      </c>
    </row>
    <row r="313" ht="22.5" customHeight="1">
      <c r="A313" s="117">
        <v>45949.919469479166</v>
      </c>
      <c r="B313" s="118">
        <v>45947.0</v>
      </c>
      <c r="C313" s="119" t="s">
        <v>239</v>
      </c>
      <c r="D313" s="119">
        <v>35.0</v>
      </c>
      <c r="E313" s="119" t="s">
        <v>1073</v>
      </c>
      <c r="F313" s="119" t="s">
        <v>1076</v>
      </c>
    </row>
    <row r="314" ht="22.5" customHeight="1">
      <c r="A314" s="117">
        <v>45949.919775104165</v>
      </c>
      <c r="B314" s="118">
        <v>45947.0</v>
      </c>
      <c r="C314" s="119" t="s">
        <v>882</v>
      </c>
      <c r="D314" s="119">
        <v>20.0</v>
      </c>
      <c r="E314" s="119" t="s">
        <v>687</v>
      </c>
      <c r="F314" s="119" t="s">
        <v>1076</v>
      </c>
    </row>
    <row r="315" ht="22.5" customHeight="1">
      <c r="A315" s="117">
        <v>45949.92106982639</v>
      </c>
      <c r="B315" s="118">
        <v>45947.0</v>
      </c>
      <c r="C315" s="119" t="s">
        <v>184</v>
      </c>
      <c r="D315" s="119">
        <v>3.82</v>
      </c>
      <c r="E315" s="119" t="s">
        <v>1073</v>
      </c>
      <c r="F315" s="119" t="s">
        <v>1076</v>
      </c>
    </row>
    <row r="316" ht="22.5" customHeight="1">
      <c r="A316" s="117">
        <v>45949.922931423615</v>
      </c>
      <c r="B316" s="118">
        <v>45939.0</v>
      </c>
      <c r="C316" s="119" t="s">
        <v>52</v>
      </c>
      <c r="D316" s="119">
        <v>20.0</v>
      </c>
      <c r="E316" s="119" t="s">
        <v>1073</v>
      </c>
      <c r="F316" s="119" t="s">
        <v>1076</v>
      </c>
    </row>
    <row r="317" ht="22.5" customHeight="1">
      <c r="A317" s="117">
        <v>45949.924030740745</v>
      </c>
      <c r="B317" s="118">
        <v>45947.0</v>
      </c>
      <c r="C317" s="119" t="s">
        <v>823</v>
      </c>
      <c r="D317" s="119">
        <v>7.0</v>
      </c>
      <c r="E317" s="119" t="s">
        <v>687</v>
      </c>
      <c r="F317" s="119" t="s">
        <v>1076</v>
      </c>
    </row>
    <row r="318" ht="22.5" customHeight="1">
      <c r="A318" s="117">
        <v>45949.92477886574</v>
      </c>
      <c r="B318" s="118">
        <v>45947.0</v>
      </c>
      <c r="C318" s="119" t="s">
        <v>892</v>
      </c>
      <c r="D318" s="119">
        <v>95.0</v>
      </c>
      <c r="E318" s="119" t="s">
        <v>687</v>
      </c>
      <c r="F318" s="119" t="s">
        <v>1076</v>
      </c>
    </row>
    <row r="319" ht="22.5" customHeight="1">
      <c r="A319" s="117">
        <v>45949.926607835645</v>
      </c>
      <c r="B319" s="118">
        <v>45947.0</v>
      </c>
      <c r="C319" s="119" t="s">
        <v>331</v>
      </c>
      <c r="D319" s="119">
        <v>1.479</v>
      </c>
      <c r="E319" s="119" t="s">
        <v>1073</v>
      </c>
      <c r="F319" s="119" t="s">
        <v>1076</v>
      </c>
    </row>
    <row r="320" ht="22.5" customHeight="1">
      <c r="A320" s="117">
        <v>45950.339380439815</v>
      </c>
      <c r="B320" s="118">
        <v>45947.0</v>
      </c>
      <c r="C320" s="119" t="s">
        <v>501</v>
      </c>
      <c r="D320" s="119">
        <v>0.25</v>
      </c>
      <c r="E320" s="119" t="s">
        <v>1073</v>
      </c>
      <c r="F320" s="119" t="s">
        <v>1077</v>
      </c>
    </row>
    <row r="321" ht="22.5" customHeight="1">
      <c r="A321" s="117">
        <v>45950.34032407407</v>
      </c>
      <c r="B321" s="118">
        <v>45947.0</v>
      </c>
      <c r="C321" s="119" t="s">
        <v>798</v>
      </c>
      <c r="D321" s="119">
        <v>1.0</v>
      </c>
      <c r="E321" s="119" t="s">
        <v>687</v>
      </c>
      <c r="F321" s="119" t="s">
        <v>1077</v>
      </c>
    </row>
    <row r="322" ht="22.5" customHeight="1">
      <c r="A322" s="117">
        <v>45950.671056886575</v>
      </c>
      <c r="B322" s="118">
        <v>45947.0</v>
      </c>
      <c r="C322" s="119" t="s">
        <v>837</v>
      </c>
      <c r="D322" s="119">
        <v>50.0</v>
      </c>
      <c r="E322" s="119" t="s">
        <v>687</v>
      </c>
      <c r="F322" s="119" t="s">
        <v>1077</v>
      </c>
    </row>
    <row r="323" ht="22.5" customHeight="1">
      <c r="A323" s="117">
        <v>45951.638194178246</v>
      </c>
      <c r="B323" s="118">
        <v>45951.0</v>
      </c>
      <c r="C323" s="119" t="s">
        <v>823</v>
      </c>
      <c r="D323" s="119">
        <v>12.2</v>
      </c>
      <c r="E323" s="119" t="s">
        <v>687</v>
      </c>
      <c r="F323" s="119" t="s">
        <v>1079</v>
      </c>
    </row>
    <row r="324" ht="22.5" customHeight="1">
      <c r="A324" s="117">
        <v>45952.551605706016</v>
      </c>
      <c r="B324" s="118">
        <v>45947.0</v>
      </c>
      <c r="C324" s="119" t="s">
        <v>558</v>
      </c>
      <c r="D324" s="119">
        <v>2.0</v>
      </c>
      <c r="E324" s="119" t="s">
        <v>562</v>
      </c>
      <c r="F324" s="119" t="s">
        <v>1081</v>
      </c>
    </row>
    <row r="325" ht="22.5" customHeight="1">
      <c r="A325" s="117">
        <v>45952.70075798611</v>
      </c>
      <c r="B325" s="118">
        <v>45951.0</v>
      </c>
      <c r="C325" s="119" t="s">
        <v>170</v>
      </c>
      <c r="D325" s="119">
        <v>12.5</v>
      </c>
      <c r="E325" s="119" t="s">
        <v>14</v>
      </c>
      <c r="F325" s="119" t="s">
        <v>1079</v>
      </c>
    </row>
    <row r="326" ht="22.5" customHeight="1">
      <c r="A326" s="117">
        <v>45952.70116751158</v>
      </c>
      <c r="B326" s="118">
        <v>45951.0</v>
      </c>
      <c r="C326" s="119" t="s">
        <v>433</v>
      </c>
      <c r="D326" s="119">
        <v>6.75</v>
      </c>
      <c r="E326" s="119" t="s">
        <v>1073</v>
      </c>
      <c r="F326" s="119" t="s">
        <v>1079</v>
      </c>
    </row>
    <row r="327" ht="22.5" customHeight="1">
      <c r="A327" s="117">
        <v>45952.70165923611</v>
      </c>
      <c r="B327" s="118">
        <v>45951.0</v>
      </c>
      <c r="C327" s="119" t="s">
        <v>382</v>
      </c>
      <c r="D327" s="119">
        <v>100.0</v>
      </c>
      <c r="E327" s="119" t="s">
        <v>1073</v>
      </c>
      <c r="F327" s="119" t="s">
        <v>1079</v>
      </c>
    </row>
    <row r="328" ht="22.5" customHeight="1">
      <c r="A328" s="117">
        <v>45952.709966979164</v>
      </c>
      <c r="B328" s="118">
        <v>45952.0</v>
      </c>
      <c r="C328" s="119" t="s">
        <v>558</v>
      </c>
      <c r="D328" s="119">
        <v>27.0</v>
      </c>
      <c r="E328" s="119" t="s">
        <v>562</v>
      </c>
      <c r="F328" s="119" t="s">
        <v>1081</v>
      </c>
    </row>
    <row r="329" ht="22.5" customHeight="1">
      <c r="A329" s="117">
        <v>45953.37034231481</v>
      </c>
      <c r="B329" s="118">
        <v>45952.0</v>
      </c>
      <c r="C329" s="119" t="s">
        <v>142</v>
      </c>
      <c r="D329" s="119">
        <v>0.15</v>
      </c>
      <c r="E329" s="119" t="s">
        <v>1073</v>
      </c>
      <c r="F329" s="119" t="s">
        <v>1079</v>
      </c>
    </row>
    <row r="330" ht="22.5" customHeight="1">
      <c r="A330" s="117">
        <v>45953.37345381944</v>
      </c>
      <c r="B330" s="118">
        <v>45952.0</v>
      </c>
      <c r="C330" s="119" t="s">
        <v>850</v>
      </c>
      <c r="D330" s="119">
        <v>1.0</v>
      </c>
      <c r="E330" s="119" t="s">
        <v>687</v>
      </c>
      <c r="F330" s="119" t="s">
        <v>1079</v>
      </c>
    </row>
    <row r="331" ht="22.5" customHeight="1">
      <c r="A331" s="117">
        <v>45953.4121781713</v>
      </c>
      <c r="B331" s="118">
        <v>45950.0</v>
      </c>
      <c r="C331" s="119" t="s">
        <v>337</v>
      </c>
      <c r="D331" s="119">
        <v>10.216</v>
      </c>
      <c r="E331" s="119" t="s">
        <v>1073</v>
      </c>
      <c r="F331" s="119" t="s">
        <v>1088</v>
      </c>
    </row>
    <row r="332" ht="22.5" customHeight="1">
      <c r="A332" s="117">
        <v>45953.41255278935</v>
      </c>
      <c r="B332" s="118">
        <v>45950.0</v>
      </c>
      <c r="C332" s="119" t="s">
        <v>823</v>
      </c>
      <c r="D332" s="119">
        <v>167.0</v>
      </c>
      <c r="E332" s="119" t="s">
        <v>687</v>
      </c>
      <c r="F332" s="119" t="s">
        <v>1088</v>
      </c>
    </row>
    <row r="333" ht="22.5" customHeight="1">
      <c r="A333" s="117">
        <v>45953.41290322917</v>
      </c>
      <c r="B333" s="118">
        <v>45950.0</v>
      </c>
      <c r="C333" s="119" t="s">
        <v>287</v>
      </c>
      <c r="D333" s="119">
        <v>33.3</v>
      </c>
      <c r="E333" s="119" t="s">
        <v>1073</v>
      </c>
      <c r="F333" s="119" t="s">
        <v>1088</v>
      </c>
    </row>
    <row r="334" ht="22.5" customHeight="1">
      <c r="A334" s="117">
        <v>45953.41335079861</v>
      </c>
      <c r="B334" s="118">
        <v>45950.0</v>
      </c>
      <c r="C334" s="119" t="s">
        <v>337</v>
      </c>
      <c r="D334" s="119">
        <v>1.022</v>
      </c>
      <c r="E334" s="119" t="s">
        <v>1073</v>
      </c>
      <c r="F334" s="119" t="s">
        <v>1088</v>
      </c>
    </row>
    <row r="335" ht="22.5" customHeight="1">
      <c r="A335" s="117">
        <v>45953.41434309028</v>
      </c>
      <c r="B335" s="118">
        <v>45950.0</v>
      </c>
      <c r="C335" s="119" t="s">
        <v>294</v>
      </c>
      <c r="D335" s="119">
        <v>10.12</v>
      </c>
      <c r="E335" s="119" t="s">
        <v>1073</v>
      </c>
      <c r="F335" s="119" t="s">
        <v>1088</v>
      </c>
    </row>
    <row r="336" ht="22.5" customHeight="1">
      <c r="A336" s="117">
        <v>45953.41531490741</v>
      </c>
      <c r="B336" s="118">
        <v>45950.0</v>
      </c>
      <c r="C336" s="119" t="s">
        <v>823</v>
      </c>
      <c r="D336" s="119">
        <v>1000.0</v>
      </c>
      <c r="E336" s="119" t="s">
        <v>687</v>
      </c>
      <c r="F336" s="119" t="s">
        <v>1089</v>
      </c>
    </row>
    <row r="337" ht="22.5" customHeight="1">
      <c r="A337" s="117">
        <v>45953.415875520834</v>
      </c>
      <c r="B337" s="118">
        <v>45950.0</v>
      </c>
      <c r="C337" s="119" t="s">
        <v>135</v>
      </c>
      <c r="D337" s="119">
        <v>0.425</v>
      </c>
      <c r="E337" s="119" t="s">
        <v>1073</v>
      </c>
      <c r="F337" s="119" t="s">
        <v>1088</v>
      </c>
    </row>
    <row r="338" ht="22.5" customHeight="1">
      <c r="A338" s="117">
        <v>45953.43947096065</v>
      </c>
      <c r="B338" s="118">
        <v>45953.0</v>
      </c>
      <c r="C338" s="119" t="s">
        <v>170</v>
      </c>
      <c r="D338" s="119">
        <v>25.0</v>
      </c>
      <c r="E338" s="119" t="s">
        <v>1073</v>
      </c>
      <c r="F338" s="119" t="s">
        <v>1079</v>
      </c>
    </row>
    <row r="339" ht="22.5" customHeight="1">
      <c r="A339" s="117">
        <v>45953.47062341435</v>
      </c>
      <c r="B339" s="118">
        <v>45953.0</v>
      </c>
      <c r="C339" s="119" t="s">
        <v>170</v>
      </c>
      <c r="D339" s="119">
        <v>25.0</v>
      </c>
      <c r="E339" s="119" t="s">
        <v>1073</v>
      </c>
      <c r="F339" s="119" t="s">
        <v>1079</v>
      </c>
    </row>
    <row r="340" ht="22.5" customHeight="1">
      <c r="A340" s="117">
        <v>45953.47204637731</v>
      </c>
      <c r="B340" s="118">
        <v>45953.0</v>
      </c>
      <c r="C340" s="119" t="s">
        <v>856</v>
      </c>
      <c r="D340" s="119">
        <v>40.0</v>
      </c>
      <c r="E340" s="119" t="s">
        <v>687</v>
      </c>
      <c r="F340" s="119" t="s">
        <v>1079</v>
      </c>
    </row>
    <row r="341" ht="22.5" customHeight="1">
      <c r="A341" s="117">
        <v>45964.41318725694</v>
      </c>
      <c r="B341" s="118">
        <v>45957.0</v>
      </c>
      <c r="C341" s="119" t="s">
        <v>470</v>
      </c>
      <c r="D341" s="119">
        <v>8.084</v>
      </c>
      <c r="E341" s="119" t="s">
        <v>1073</v>
      </c>
      <c r="F341" s="119" t="s">
        <v>1084</v>
      </c>
    </row>
    <row r="342" ht="22.5" customHeight="1">
      <c r="A342" s="117">
        <v>45964.43689710648</v>
      </c>
      <c r="B342" s="118">
        <v>45964.0</v>
      </c>
      <c r="C342" s="119" t="s">
        <v>149</v>
      </c>
      <c r="D342" s="119">
        <v>17.9105</v>
      </c>
      <c r="E342" s="119" t="s">
        <v>1073</v>
      </c>
      <c r="F342" s="119" t="s">
        <v>1076</v>
      </c>
    </row>
    <row r="343" ht="22.5" customHeight="1">
      <c r="A343" s="117">
        <v>45964.43722262731</v>
      </c>
      <c r="B343" s="118">
        <v>45964.0</v>
      </c>
      <c r="C343" s="119" t="s">
        <v>356</v>
      </c>
      <c r="D343" s="119">
        <v>6.8008</v>
      </c>
      <c r="E343" s="119" t="s">
        <v>1073</v>
      </c>
      <c r="F343" s="119" t="s">
        <v>1076</v>
      </c>
    </row>
    <row r="344" ht="22.5" customHeight="1">
      <c r="A344" s="117">
        <v>45964.45548503472</v>
      </c>
      <c r="B344" s="118">
        <v>45964.0</v>
      </c>
      <c r="C344" s="119" t="s">
        <v>951</v>
      </c>
      <c r="D344" s="119">
        <v>2.65</v>
      </c>
      <c r="E344" s="119" t="s">
        <v>687</v>
      </c>
      <c r="F344" s="119" t="s">
        <v>1079</v>
      </c>
    </row>
    <row r="345" ht="22.5" customHeight="1">
      <c r="A345" s="117">
        <v>45964.456179155095</v>
      </c>
      <c r="B345" s="118">
        <v>45964.0</v>
      </c>
      <c r="C345" s="119" t="s">
        <v>135</v>
      </c>
      <c r="D345" s="119">
        <v>1.03</v>
      </c>
      <c r="E345" s="119" t="s">
        <v>1073</v>
      </c>
      <c r="F345" s="119" t="s">
        <v>1079</v>
      </c>
    </row>
    <row r="346" ht="22.5" customHeight="1">
      <c r="A346" s="117">
        <v>45964.45674046296</v>
      </c>
      <c r="B346" s="118">
        <v>45964.0</v>
      </c>
      <c r="C346" s="119" t="s">
        <v>513</v>
      </c>
      <c r="D346" s="119">
        <v>9.1</v>
      </c>
      <c r="E346" s="119" t="s">
        <v>1073</v>
      </c>
      <c r="F346" s="119" t="s">
        <v>1079</v>
      </c>
    </row>
    <row r="347" ht="22.5" customHeight="1">
      <c r="A347" s="117">
        <v>45964.45721439815</v>
      </c>
      <c r="B347" s="118">
        <v>45964.0</v>
      </c>
      <c r="C347" s="119" t="s">
        <v>155</v>
      </c>
      <c r="D347" s="119">
        <v>0.5</v>
      </c>
      <c r="E347" s="119" t="s">
        <v>1073</v>
      </c>
      <c r="F347" s="119" t="s">
        <v>1079</v>
      </c>
    </row>
    <row r="348" ht="22.5" customHeight="1">
      <c r="A348" s="117">
        <v>45972.4098575463</v>
      </c>
      <c r="B348" s="118">
        <v>45971.0</v>
      </c>
      <c r="C348" s="119" t="s">
        <v>155</v>
      </c>
      <c r="D348" s="119">
        <v>1.0</v>
      </c>
      <c r="E348" s="119" t="s">
        <v>1073</v>
      </c>
      <c r="F348" s="119" t="s">
        <v>1090</v>
      </c>
    </row>
    <row r="349" ht="22.5" customHeight="1">
      <c r="A349" s="117">
        <v>45972.41038148148</v>
      </c>
      <c r="B349" s="118">
        <v>45971.0</v>
      </c>
      <c r="C349" s="119" t="s">
        <v>239</v>
      </c>
      <c r="D349" s="119">
        <v>20.0</v>
      </c>
      <c r="E349" s="119" t="s">
        <v>1073</v>
      </c>
      <c r="F349" s="119" t="s">
        <v>1090</v>
      </c>
    </row>
    <row r="350" ht="22.5" customHeight="1">
      <c r="A350" s="117">
        <v>45972.41074803241</v>
      </c>
      <c r="B350" s="118">
        <v>45972.0</v>
      </c>
      <c r="C350" s="119" t="s">
        <v>170</v>
      </c>
      <c r="D350" s="119">
        <v>11.1</v>
      </c>
      <c r="E350" s="119" t="s">
        <v>1073</v>
      </c>
      <c r="F350" s="119" t="s">
        <v>1090</v>
      </c>
    </row>
    <row r="351" ht="22.5" customHeight="1">
      <c r="A351" s="117">
        <v>45972.41108967592</v>
      </c>
      <c r="B351" s="118">
        <v>45972.0</v>
      </c>
      <c r="C351" s="119" t="s">
        <v>225</v>
      </c>
      <c r="D351" s="119">
        <v>0.5</v>
      </c>
      <c r="E351" s="119" t="s">
        <v>1073</v>
      </c>
      <c r="F351" s="119" t="s">
        <v>1090</v>
      </c>
    </row>
    <row r="352" ht="22.5" customHeight="1">
      <c r="A352" s="117">
        <v>45972.57497888889</v>
      </c>
      <c r="B352" s="118">
        <v>45971.0</v>
      </c>
      <c r="C352" s="119" t="s">
        <v>944</v>
      </c>
      <c r="D352" s="119">
        <v>2.0</v>
      </c>
      <c r="E352" s="119" t="s">
        <v>562</v>
      </c>
      <c r="F352" s="119" t="s">
        <v>1084</v>
      </c>
    </row>
    <row r="353" ht="22.5" customHeight="1">
      <c r="A353" s="117">
        <v>45972.576476828704</v>
      </c>
      <c r="B353" s="118">
        <v>45972.0</v>
      </c>
      <c r="C353" s="119" t="s">
        <v>566</v>
      </c>
      <c r="D353" s="119">
        <v>1.0</v>
      </c>
      <c r="E353" s="119" t="s">
        <v>562</v>
      </c>
      <c r="F353" s="119" t="s">
        <v>1084</v>
      </c>
    </row>
    <row r="354" ht="22.5" customHeight="1">
      <c r="A354" s="117">
        <v>45972.57688119213</v>
      </c>
      <c r="B354" s="118">
        <v>45972.0</v>
      </c>
      <c r="C354" s="119" t="s">
        <v>572</v>
      </c>
      <c r="D354" s="119">
        <v>1.0</v>
      </c>
      <c r="E354" s="119" t="s">
        <v>562</v>
      </c>
      <c r="F354" s="119" t="s">
        <v>1084</v>
      </c>
    </row>
    <row r="355" ht="22.5" customHeight="1">
      <c r="A355" s="117">
        <v>45973.59784086805</v>
      </c>
      <c r="B355" s="118">
        <v>45973.0</v>
      </c>
      <c r="C355" s="119" t="s">
        <v>582</v>
      </c>
      <c r="D355" s="119">
        <v>7.2089</v>
      </c>
      <c r="E355" s="119" t="s">
        <v>1073</v>
      </c>
      <c r="F355" s="119" t="s">
        <v>1081</v>
      </c>
    </row>
    <row r="356" ht="22.5" customHeight="1">
      <c r="A356" s="117">
        <v>45973.59920188657</v>
      </c>
      <c r="B356" s="118">
        <v>45973.0</v>
      </c>
      <c r="C356" s="119" t="s">
        <v>356</v>
      </c>
      <c r="D356" s="119">
        <v>0.36</v>
      </c>
      <c r="E356" s="119" t="s">
        <v>1073</v>
      </c>
      <c r="F356" s="119" t="s">
        <v>1081</v>
      </c>
    </row>
    <row r="357" ht="22.5" customHeight="1">
      <c r="A357" s="117">
        <v>45973.59994001157</v>
      </c>
      <c r="B357" s="118">
        <v>45973.0</v>
      </c>
      <c r="C357" s="119" t="s">
        <v>501</v>
      </c>
      <c r="D357" s="119">
        <v>0.25</v>
      </c>
      <c r="E357" s="119" t="s">
        <v>1073</v>
      </c>
      <c r="F357" s="119" t="s">
        <v>1091</v>
      </c>
    </row>
    <row r="358" ht="22.5" customHeight="1">
      <c r="A358" s="117">
        <v>45973.60037958334</v>
      </c>
      <c r="B358" s="118">
        <v>45973.0</v>
      </c>
      <c r="C358" s="119" t="s">
        <v>837</v>
      </c>
      <c r="D358" s="119">
        <v>50.0</v>
      </c>
      <c r="E358" s="119" t="s">
        <v>687</v>
      </c>
      <c r="F358" s="119" t="s">
        <v>1091</v>
      </c>
    </row>
    <row r="359" ht="22.5" customHeight="1">
      <c r="A359" s="117">
        <v>45973.601170625</v>
      </c>
      <c r="B359" s="118">
        <v>45973.0</v>
      </c>
      <c r="C359" s="119" t="s">
        <v>246</v>
      </c>
      <c r="D359" s="119">
        <v>100.0</v>
      </c>
      <c r="E359" s="119" t="s">
        <v>687</v>
      </c>
      <c r="F359" s="119" t="s">
        <v>1091</v>
      </c>
    </row>
    <row r="360" ht="22.5" customHeight="1">
      <c r="A360" s="117">
        <v>45973.601931516205</v>
      </c>
      <c r="B360" s="118">
        <v>45973.0</v>
      </c>
      <c r="C360" s="119" t="s">
        <v>177</v>
      </c>
      <c r="D360" s="119">
        <v>15.0</v>
      </c>
      <c r="E360" s="119" t="s">
        <v>1073</v>
      </c>
      <c r="F360" s="119" t="s">
        <v>1091</v>
      </c>
    </row>
    <row r="361" ht="22.5" customHeight="1">
      <c r="A361" s="117">
        <v>45973.602718379625</v>
      </c>
      <c r="B361" s="118">
        <v>45973.0</v>
      </c>
      <c r="C361" s="119" t="s">
        <v>170</v>
      </c>
      <c r="D361" s="119">
        <v>11.1</v>
      </c>
      <c r="E361" s="119" t="s">
        <v>1073</v>
      </c>
      <c r="F361" s="119" t="s">
        <v>1091</v>
      </c>
    </row>
    <row r="362" ht="22.5" customHeight="1">
      <c r="A362" s="117">
        <v>45973.70827444445</v>
      </c>
      <c r="B362" s="118">
        <v>45973.0</v>
      </c>
      <c r="C362" s="119" t="s">
        <v>184</v>
      </c>
      <c r="D362" s="119">
        <v>0.956</v>
      </c>
      <c r="E362" s="119" t="s">
        <v>1073</v>
      </c>
      <c r="F362" s="119" t="s">
        <v>1079</v>
      </c>
    </row>
    <row r="363" ht="22.5" customHeight="1">
      <c r="A363" s="117">
        <v>45974.376057835645</v>
      </c>
      <c r="B363" s="118">
        <v>45974.0</v>
      </c>
      <c r="C363" s="119" t="s">
        <v>882</v>
      </c>
      <c r="D363" s="119">
        <v>4.0</v>
      </c>
      <c r="E363" s="119" t="s">
        <v>687</v>
      </c>
      <c r="F363" s="119" t="s">
        <v>1079</v>
      </c>
    </row>
    <row r="364" ht="22.5" customHeight="1">
      <c r="A364" s="117">
        <v>45974.44798067129</v>
      </c>
      <c r="B364" s="118">
        <v>45974.0</v>
      </c>
      <c r="C364" s="119" t="s">
        <v>184</v>
      </c>
      <c r="D364" s="119">
        <v>2.1</v>
      </c>
      <c r="E364" s="119" t="s">
        <v>1073</v>
      </c>
      <c r="F364" s="119" t="s">
        <v>1079</v>
      </c>
    </row>
    <row r="365" ht="22.5" customHeight="1">
      <c r="A365" s="117">
        <v>45974.44858596065</v>
      </c>
      <c r="B365" s="118">
        <v>45974.0</v>
      </c>
      <c r="C365" s="119" t="s">
        <v>594</v>
      </c>
      <c r="D365" s="119">
        <v>100.1</v>
      </c>
      <c r="E365" s="119" t="s">
        <v>1073</v>
      </c>
      <c r="F365" s="119" t="s">
        <v>1079</v>
      </c>
    </row>
    <row r="366" ht="22.5" customHeight="1">
      <c r="A366" s="117">
        <v>45974.44900650463</v>
      </c>
      <c r="B366" s="118">
        <v>45973.0</v>
      </c>
      <c r="C366" s="119" t="s">
        <v>882</v>
      </c>
      <c r="D366" s="119">
        <v>12.0</v>
      </c>
      <c r="E366" s="119" t="s">
        <v>687</v>
      </c>
      <c r="F366" s="119" t="s">
        <v>1090</v>
      </c>
    </row>
    <row r="367" ht="22.5" customHeight="1">
      <c r="A367" s="117">
        <v>45974.44944577546</v>
      </c>
      <c r="B367" s="118">
        <v>45974.0</v>
      </c>
      <c r="C367" s="119" t="s">
        <v>155</v>
      </c>
      <c r="D367" s="119">
        <v>5.01</v>
      </c>
      <c r="E367" s="119" t="s">
        <v>1073</v>
      </c>
      <c r="F367" s="119" t="s">
        <v>1079</v>
      </c>
    </row>
    <row r="368" ht="22.5" customHeight="1">
      <c r="A368" s="117">
        <v>45974.596345011574</v>
      </c>
      <c r="B368" s="118">
        <v>45974.0</v>
      </c>
      <c r="C368" s="119" t="s">
        <v>882</v>
      </c>
      <c r="D368" s="119">
        <v>4.0</v>
      </c>
      <c r="E368" s="119" t="s">
        <v>687</v>
      </c>
      <c r="F368" s="119" t="s">
        <v>1079</v>
      </c>
    </row>
    <row r="369" ht="22.5" customHeight="1">
      <c r="A369" s="117">
        <v>45975.47218965278</v>
      </c>
      <c r="B369" s="118">
        <v>45975.0</v>
      </c>
      <c r="C369" s="119" t="s">
        <v>837</v>
      </c>
      <c r="D369" s="119">
        <v>65.0</v>
      </c>
      <c r="E369" s="119" t="s">
        <v>687</v>
      </c>
      <c r="F369" s="119" t="s">
        <v>1079</v>
      </c>
    </row>
    <row r="370" ht="22.5" customHeight="1">
      <c r="A370" s="117">
        <v>45975.472477222225</v>
      </c>
      <c r="B370" s="118">
        <v>45975.0</v>
      </c>
      <c r="C370" s="119" t="s">
        <v>318</v>
      </c>
      <c r="D370" s="119">
        <v>10.002</v>
      </c>
      <c r="E370" s="119" t="s">
        <v>1073</v>
      </c>
      <c r="F370" s="119" t="s">
        <v>1079</v>
      </c>
    </row>
    <row r="371" ht="22.5" customHeight="1">
      <c r="A371" s="117">
        <v>45975.473107048616</v>
      </c>
      <c r="B371" s="118">
        <v>45975.0</v>
      </c>
      <c r="C371" s="119" t="s">
        <v>356</v>
      </c>
      <c r="D371" s="119">
        <v>0.2195</v>
      </c>
      <c r="E371" s="119" t="s">
        <v>1073</v>
      </c>
      <c r="F371" s="119" t="s">
        <v>1079</v>
      </c>
    </row>
    <row r="372" ht="22.5" customHeight="1">
      <c r="A372" s="117">
        <v>45975.4733762963</v>
      </c>
      <c r="B372" s="118">
        <v>45975.0</v>
      </c>
      <c r="C372" s="119" t="s">
        <v>888</v>
      </c>
      <c r="D372" s="119">
        <v>21.0</v>
      </c>
      <c r="E372" s="119" t="s">
        <v>687</v>
      </c>
      <c r="F372" s="119" t="s">
        <v>1079</v>
      </c>
    </row>
    <row r="373" ht="22.5" customHeight="1">
      <c r="A373" s="117">
        <v>45975.47375103009</v>
      </c>
      <c r="B373" s="118">
        <v>45975.0</v>
      </c>
      <c r="C373" s="119" t="s">
        <v>582</v>
      </c>
      <c r="D373" s="119">
        <v>7.21</v>
      </c>
      <c r="E373" s="119" t="s">
        <v>1073</v>
      </c>
      <c r="F373" s="119" t="s">
        <v>1079</v>
      </c>
    </row>
    <row r="374" ht="22.5" customHeight="1">
      <c r="A374" s="117">
        <v>45975.54976731482</v>
      </c>
      <c r="B374" s="118">
        <v>45975.0</v>
      </c>
      <c r="C374" s="119" t="s">
        <v>438</v>
      </c>
      <c r="D374" s="119">
        <v>3.5</v>
      </c>
      <c r="E374" s="119" t="s">
        <v>1073</v>
      </c>
      <c r="F374" s="119" t="s">
        <v>1076</v>
      </c>
    </row>
    <row r="375" ht="22.5" customHeight="1">
      <c r="A375" s="117">
        <v>45975.55026591435</v>
      </c>
      <c r="B375" s="118">
        <v>45975.0</v>
      </c>
      <c r="C375" s="119" t="s">
        <v>344</v>
      </c>
      <c r="D375" s="119">
        <v>6.3</v>
      </c>
      <c r="E375" s="119" t="s">
        <v>1073</v>
      </c>
      <c r="F375" s="119" t="s">
        <v>1076</v>
      </c>
    </row>
    <row r="376" ht="22.5" customHeight="1">
      <c r="A376" s="117">
        <v>45975.55059943287</v>
      </c>
      <c r="B376" s="118">
        <v>45975.0</v>
      </c>
      <c r="C376" s="119" t="s">
        <v>375</v>
      </c>
      <c r="D376" s="119">
        <v>0.025</v>
      </c>
      <c r="E376" s="119" t="s">
        <v>1073</v>
      </c>
      <c r="F376" s="119" t="s">
        <v>1076</v>
      </c>
    </row>
    <row r="377" ht="22.5" customHeight="1">
      <c r="A377" s="117">
        <v>45978.40958960648</v>
      </c>
      <c r="B377" s="118">
        <v>45978.0</v>
      </c>
      <c r="C377" s="119" t="s">
        <v>519</v>
      </c>
      <c r="D377" s="119">
        <v>13.61</v>
      </c>
      <c r="E377" s="119" t="s">
        <v>1073</v>
      </c>
      <c r="F377" s="119" t="s">
        <v>1076</v>
      </c>
    </row>
    <row r="378" ht="22.5" customHeight="1">
      <c r="A378" s="117">
        <v>45978.40991927084</v>
      </c>
      <c r="B378" s="118">
        <v>45978.0</v>
      </c>
      <c r="C378" s="119" t="s">
        <v>211</v>
      </c>
      <c r="D378" s="119">
        <v>0.28</v>
      </c>
      <c r="E378" s="119" t="s">
        <v>1073</v>
      </c>
      <c r="F378" s="119" t="s">
        <v>1076</v>
      </c>
    </row>
    <row r="379" ht="22.5" customHeight="1">
      <c r="A379" s="117">
        <v>45978.410188622685</v>
      </c>
      <c r="B379" s="118">
        <v>45978.0</v>
      </c>
      <c r="C379" s="119" t="s">
        <v>232</v>
      </c>
      <c r="D379" s="119">
        <v>0.08</v>
      </c>
      <c r="E379" s="119" t="s">
        <v>1073</v>
      </c>
      <c r="F379" s="119" t="s">
        <v>1076</v>
      </c>
    </row>
    <row r="380" ht="22.5" customHeight="1">
      <c r="A380" s="117">
        <v>45978.41044100694</v>
      </c>
      <c r="B380" s="118">
        <v>45978.0</v>
      </c>
      <c r="C380" s="119" t="s">
        <v>155</v>
      </c>
      <c r="D380" s="119">
        <v>18.0</v>
      </c>
      <c r="E380" s="119" t="s">
        <v>1073</v>
      </c>
      <c r="F380" s="119" t="s">
        <v>1076</v>
      </c>
    </row>
    <row r="381" ht="22.5" customHeight="1">
      <c r="A381" s="117">
        <v>45978.59318001157</v>
      </c>
      <c r="B381" s="118">
        <v>45978.0</v>
      </c>
      <c r="C381" s="119" t="s">
        <v>823</v>
      </c>
      <c r="D381" s="119">
        <v>23.0</v>
      </c>
      <c r="E381" s="119" t="s">
        <v>687</v>
      </c>
      <c r="F381" s="119" t="s">
        <v>1079</v>
      </c>
    </row>
    <row r="382" ht="22.5" customHeight="1">
      <c r="A382" s="117">
        <v>45978.59371540509</v>
      </c>
      <c r="B382" s="118">
        <v>45978.0</v>
      </c>
      <c r="C382" s="119" t="s">
        <v>163</v>
      </c>
      <c r="D382" s="119">
        <v>10.005</v>
      </c>
      <c r="E382" s="119" t="s">
        <v>1073</v>
      </c>
      <c r="F382" s="119" t="s">
        <v>1079</v>
      </c>
    </row>
    <row r="383" ht="22.5" customHeight="1">
      <c r="A383" s="117">
        <v>45978.59450386574</v>
      </c>
      <c r="B383" s="118">
        <v>45978.0</v>
      </c>
      <c r="C383" s="119" t="s">
        <v>300</v>
      </c>
      <c r="D383" s="119">
        <v>0.102</v>
      </c>
      <c r="E383" s="119" t="s">
        <v>1073</v>
      </c>
      <c r="F383" s="119" t="s">
        <v>1079</v>
      </c>
    </row>
    <row r="384" ht="22.5" customHeight="1">
      <c r="A384" s="117">
        <v>45979.665489444444</v>
      </c>
      <c r="B384" s="118">
        <v>45979.0</v>
      </c>
      <c r="C384" s="119" t="s">
        <v>407</v>
      </c>
      <c r="D384" s="119">
        <v>62.7</v>
      </c>
      <c r="E384" s="119" t="s">
        <v>1073</v>
      </c>
      <c r="F384" s="119" t="s">
        <v>1079</v>
      </c>
    </row>
    <row r="385" ht="22.5" customHeight="1">
      <c r="A385" s="117">
        <v>45979.66729429398</v>
      </c>
      <c r="B385" s="118">
        <v>45979.0</v>
      </c>
      <c r="C385" s="119" t="s">
        <v>850</v>
      </c>
      <c r="D385" s="119">
        <v>350.0</v>
      </c>
      <c r="E385" s="119" t="s">
        <v>687</v>
      </c>
      <c r="F385" s="119" t="s">
        <v>1092</v>
      </c>
    </row>
    <row r="386" ht="22.5" customHeight="1">
      <c r="A386" s="117">
        <v>45979.66771835648</v>
      </c>
      <c r="B386" s="118">
        <v>45979.0</v>
      </c>
      <c r="C386" s="119" t="s">
        <v>369</v>
      </c>
      <c r="D386" s="119">
        <v>2.0</v>
      </c>
      <c r="E386" s="119" t="s">
        <v>1073</v>
      </c>
      <c r="F386" s="119" t="s">
        <v>1092</v>
      </c>
    </row>
    <row r="387" ht="22.5" customHeight="1">
      <c r="A387" s="117">
        <v>45980.382087199076</v>
      </c>
      <c r="B387" s="118">
        <v>45980.0</v>
      </c>
      <c r="C387" s="119" t="s">
        <v>888</v>
      </c>
      <c r="D387" s="119">
        <v>40.0</v>
      </c>
      <c r="E387" s="119" t="s">
        <v>687</v>
      </c>
      <c r="F387" s="119" t="s">
        <v>1076</v>
      </c>
    </row>
    <row r="388" ht="22.5" customHeight="1">
      <c r="A388" s="117">
        <v>45982.43668752315</v>
      </c>
      <c r="B388" s="118">
        <v>45982.0</v>
      </c>
      <c r="C388" s="119" t="s">
        <v>494</v>
      </c>
      <c r="D388" s="119">
        <v>10.0</v>
      </c>
      <c r="E388" s="119" t="s">
        <v>1073</v>
      </c>
      <c r="F388" s="119" t="s">
        <v>1076</v>
      </c>
    </row>
    <row r="389" ht="22.5" customHeight="1">
      <c r="A389" s="117">
        <v>45982.54418550926</v>
      </c>
      <c r="B389" s="118">
        <v>45981.0</v>
      </c>
      <c r="C389" s="119" t="s">
        <v>856</v>
      </c>
      <c r="D389" s="119">
        <v>50.0</v>
      </c>
      <c r="E389" s="119" t="s">
        <v>687</v>
      </c>
      <c r="F389" s="119" t="s">
        <v>1081</v>
      </c>
    </row>
    <row r="390" ht="22.5" customHeight="1">
      <c r="A390" s="117">
        <v>45982.61930685185</v>
      </c>
      <c r="B390" s="118">
        <v>45974.0</v>
      </c>
      <c r="C390" s="119" t="s">
        <v>184</v>
      </c>
      <c r="D390" s="119">
        <v>0.318</v>
      </c>
      <c r="E390" s="119" t="s">
        <v>1073</v>
      </c>
      <c r="F390" s="119" t="s">
        <v>1093</v>
      </c>
    </row>
    <row r="391" ht="22.5" customHeight="1">
      <c r="A391" s="117">
        <v>45982.62031082176</v>
      </c>
      <c r="B391" s="118">
        <v>45974.0</v>
      </c>
      <c r="C391" s="119" t="s">
        <v>155</v>
      </c>
      <c r="D391" s="119">
        <v>13.5</v>
      </c>
      <c r="E391" s="119" t="s">
        <v>1073</v>
      </c>
      <c r="F391" s="119" t="s">
        <v>1093</v>
      </c>
    </row>
    <row r="392" ht="22.5" customHeight="1">
      <c r="A392" s="117">
        <v>45982.620808078704</v>
      </c>
      <c r="B392" s="118">
        <v>45974.0</v>
      </c>
      <c r="C392" s="119" t="s">
        <v>170</v>
      </c>
      <c r="D392" s="119">
        <v>25.0</v>
      </c>
      <c r="E392" s="119" t="s">
        <v>1073</v>
      </c>
      <c r="F392" s="119" t="s">
        <v>1093</v>
      </c>
    </row>
    <row r="393" ht="22.5" customHeight="1">
      <c r="A393" s="117">
        <v>45982.6211828125</v>
      </c>
      <c r="B393" s="118">
        <v>45974.0</v>
      </c>
      <c r="C393" s="119" t="s">
        <v>494</v>
      </c>
      <c r="D393" s="119">
        <v>10.0</v>
      </c>
      <c r="E393" s="119" t="s">
        <v>1073</v>
      </c>
      <c r="F393" s="119" t="s">
        <v>1093</v>
      </c>
    </row>
    <row r="394" ht="22.5" customHeight="1">
      <c r="A394" s="117">
        <v>45982.62149858796</v>
      </c>
      <c r="B394" s="118">
        <v>45974.0</v>
      </c>
      <c r="C394" s="119" t="s">
        <v>225</v>
      </c>
      <c r="D394" s="119">
        <v>1.0</v>
      </c>
      <c r="E394" s="119" t="s">
        <v>1073</v>
      </c>
      <c r="F394" s="119" t="s">
        <v>1093</v>
      </c>
    </row>
    <row r="395" ht="22.5" customHeight="1">
      <c r="A395" s="117">
        <v>45982.62388083333</v>
      </c>
      <c r="B395" s="118">
        <v>45974.0</v>
      </c>
      <c r="C395" s="119" t="s">
        <v>831</v>
      </c>
      <c r="D395" s="119">
        <v>83.0</v>
      </c>
      <c r="E395" s="119" t="s">
        <v>687</v>
      </c>
      <c r="F395" s="119" t="s">
        <v>1093</v>
      </c>
    </row>
    <row r="396" ht="22.5" customHeight="1">
      <c r="A396" s="117">
        <v>45982.62426347222</v>
      </c>
      <c r="B396" s="118">
        <v>45974.0</v>
      </c>
      <c r="C396" s="119" t="s">
        <v>862</v>
      </c>
      <c r="D396" s="119">
        <v>5.7</v>
      </c>
      <c r="E396" s="119" t="s">
        <v>687</v>
      </c>
      <c r="F396" s="119" t="s">
        <v>1093</v>
      </c>
    </row>
    <row r="397" ht="22.5" customHeight="1">
      <c r="A397" s="117">
        <v>45982.69720090278</v>
      </c>
      <c r="B397" s="118">
        <v>45982.0</v>
      </c>
      <c r="C397" s="119" t="s">
        <v>850</v>
      </c>
      <c r="D397" s="119">
        <v>570.0</v>
      </c>
      <c r="E397" s="119" t="s">
        <v>687</v>
      </c>
      <c r="F397" s="119" t="s">
        <v>1079</v>
      </c>
    </row>
    <row r="398" ht="22.5" customHeight="1">
      <c r="A398" s="117">
        <v>45982.697601168984</v>
      </c>
      <c r="B398" s="118">
        <v>45982.0</v>
      </c>
      <c r="C398" s="119" t="s">
        <v>369</v>
      </c>
      <c r="D398" s="119">
        <v>1.0</v>
      </c>
      <c r="E398" s="119" t="s">
        <v>1073</v>
      </c>
      <c r="F398" s="119" t="s">
        <v>1079</v>
      </c>
    </row>
    <row r="399" ht="22.5" customHeight="1">
      <c r="A399" s="117">
        <v>45985.40148572916</v>
      </c>
      <c r="B399" s="118">
        <v>45982.0</v>
      </c>
      <c r="C399" s="119" t="s">
        <v>470</v>
      </c>
      <c r="D399" s="119">
        <v>8.053</v>
      </c>
      <c r="E399" s="119" t="s">
        <v>1073</v>
      </c>
      <c r="F399" s="119" t="s">
        <v>1084</v>
      </c>
    </row>
    <row r="400" ht="22.5" customHeight="1">
      <c r="A400" s="117">
        <v>45985.404224618054</v>
      </c>
      <c r="B400" s="118">
        <v>45985.0</v>
      </c>
      <c r="C400" s="119" t="s">
        <v>823</v>
      </c>
      <c r="D400" s="119">
        <v>5.0</v>
      </c>
      <c r="E400" s="119" t="s">
        <v>687</v>
      </c>
      <c r="F400" s="119" t="s">
        <v>1081</v>
      </c>
    </row>
    <row r="401" ht="22.5" customHeight="1">
      <c r="A401" s="117">
        <v>45985.40457892361</v>
      </c>
      <c r="B401" s="118">
        <v>45985.0</v>
      </c>
      <c r="C401" s="119" t="s">
        <v>246</v>
      </c>
      <c r="D401" s="119">
        <v>13.6104</v>
      </c>
      <c r="E401" s="119" t="s">
        <v>1073</v>
      </c>
      <c r="F401" s="119" t="s">
        <v>1081</v>
      </c>
    </row>
    <row r="402" ht="22.5" customHeight="1">
      <c r="A402" s="117">
        <v>45985.40525439815</v>
      </c>
      <c r="B402" s="118">
        <v>45985.0</v>
      </c>
      <c r="C402" s="119" t="s">
        <v>882</v>
      </c>
      <c r="D402" s="119">
        <v>75.0</v>
      </c>
      <c r="E402" s="119" t="s">
        <v>687</v>
      </c>
      <c r="F402" s="119" t="s">
        <v>1081</v>
      </c>
    </row>
    <row r="403" ht="22.5" customHeight="1">
      <c r="A403" s="117">
        <v>45985.40578476852</v>
      </c>
      <c r="B403" s="118">
        <v>45985.0</v>
      </c>
      <c r="C403" s="119" t="s">
        <v>211</v>
      </c>
      <c r="D403" s="119">
        <v>0.2004</v>
      </c>
      <c r="E403" s="119" t="s">
        <v>1073</v>
      </c>
      <c r="F403" s="119" t="s">
        <v>1081</v>
      </c>
    </row>
    <row r="404" ht="22.5" customHeight="1">
      <c r="A404" s="117">
        <v>45985.41697680556</v>
      </c>
      <c r="B404" s="118">
        <v>45985.0</v>
      </c>
      <c r="C404" s="119" t="s">
        <v>862</v>
      </c>
      <c r="D404" s="119">
        <v>5.7</v>
      </c>
      <c r="E404" s="119" t="s">
        <v>687</v>
      </c>
      <c r="F404" s="119" t="s">
        <v>1081</v>
      </c>
    </row>
    <row r="405" ht="22.5" customHeight="1">
      <c r="A405" s="117">
        <v>45985.50291427084</v>
      </c>
      <c r="B405" s="118">
        <v>45985.0</v>
      </c>
      <c r="C405" s="119" t="s">
        <v>170</v>
      </c>
      <c r="D405" s="119">
        <v>25.0</v>
      </c>
      <c r="E405" s="119" t="s">
        <v>1073</v>
      </c>
      <c r="F405" s="119" t="s">
        <v>1081</v>
      </c>
    </row>
    <row r="406" ht="22.5" customHeight="1">
      <c r="A406" s="117">
        <v>45985.50336825231</v>
      </c>
      <c r="B406" s="118">
        <v>45985.0</v>
      </c>
      <c r="C406" s="119" t="s">
        <v>856</v>
      </c>
      <c r="D406" s="119">
        <v>40.0</v>
      </c>
      <c r="E406" s="119" t="s">
        <v>687</v>
      </c>
      <c r="F406" s="119" t="s">
        <v>1081</v>
      </c>
    </row>
    <row r="407" ht="22.5" customHeight="1">
      <c r="A407" s="117">
        <v>45986.30672099537</v>
      </c>
      <c r="B407" s="118">
        <v>45985.0</v>
      </c>
      <c r="C407" s="119" t="s">
        <v>513</v>
      </c>
      <c r="D407" s="119">
        <v>9.1033</v>
      </c>
      <c r="E407" s="119" t="s">
        <v>1073</v>
      </c>
      <c r="F407" s="119" t="s">
        <v>1081</v>
      </c>
    </row>
    <row r="408" ht="22.5" customHeight="1">
      <c r="A408" s="117">
        <v>45986.308183553236</v>
      </c>
      <c r="B408" s="118">
        <v>45985.0</v>
      </c>
      <c r="C408" s="119" t="s">
        <v>155</v>
      </c>
      <c r="D408" s="119">
        <v>0.2033</v>
      </c>
      <c r="E408" s="119" t="s">
        <v>1073</v>
      </c>
      <c r="F408" s="119" t="s">
        <v>1081</v>
      </c>
    </row>
    <row r="409" ht="22.5" customHeight="1">
      <c r="A409" s="117">
        <v>45986.30879215278</v>
      </c>
      <c r="B409" s="118">
        <v>45985.0</v>
      </c>
      <c r="C409" s="119" t="s">
        <v>135</v>
      </c>
      <c r="D409" s="119">
        <v>0.5004</v>
      </c>
      <c r="E409" s="119" t="s">
        <v>1073</v>
      </c>
      <c r="F409" s="119" t="s">
        <v>1081</v>
      </c>
    </row>
    <row r="410" ht="22.5" customHeight="1">
      <c r="A410" s="117">
        <v>45986.32846925926</v>
      </c>
      <c r="B410" s="118">
        <v>45985.0</v>
      </c>
      <c r="C410" s="119" t="s">
        <v>311</v>
      </c>
      <c r="D410" s="119">
        <v>2.0</v>
      </c>
      <c r="E410" s="119" t="s">
        <v>1073</v>
      </c>
      <c r="F410" s="119" t="s">
        <v>1094</v>
      </c>
    </row>
    <row r="411" ht="22.5" customHeight="1">
      <c r="A411" s="117">
        <v>45986.32891541667</v>
      </c>
      <c r="B411" s="118">
        <v>45985.0</v>
      </c>
      <c r="C411" s="119" t="s">
        <v>991</v>
      </c>
      <c r="D411" s="119">
        <v>7.0</v>
      </c>
      <c r="E411" s="119" t="s">
        <v>687</v>
      </c>
      <c r="F411" s="119" t="s">
        <v>1094</v>
      </c>
    </row>
    <row r="412" ht="22.5" customHeight="1">
      <c r="A412" s="117">
        <v>45986.33408730324</v>
      </c>
      <c r="B412" s="118">
        <v>45985.0</v>
      </c>
      <c r="C412" s="119" t="s">
        <v>108</v>
      </c>
      <c r="D412" s="119">
        <v>2.5</v>
      </c>
      <c r="E412" s="119" t="s">
        <v>1073</v>
      </c>
      <c r="F412" s="119" t="s">
        <v>1076</v>
      </c>
    </row>
    <row r="413" ht="22.5" customHeight="1">
      <c r="A413" s="117">
        <v>45986.334321111106</v>
      </c>
      <c r="B413" s="118">
        <v>45985.0</v>
      </c>
      <c r="C413" s="119" t="s">
        <v>25</v>
      </c>
      <c r="D413" s="119">
        <v>0.25</v>
      </c>
      <c r="E413" s="119" t="s">
        <v>1073</v>
      </c>
      <c r="F413" s="119" t="s">
        <v>1076</v>
      </c>
    </row>
    <row r="414" ht="22.5" customHeight="1">
      <c r="A414" s="117">
        <v>45986.33463533565</v>
      </c>
      <c r="B414" s="118">
        <v>45985.0</v>
      </c>
      <c r="C414" s="119" t="s">
        <v>914</v>
      </c>
      <c r="D414" s="119">
        <v>17.5</v>
      </c>
      <c r="E414" s="119" t="s">
        <v>687</v>
      </c>
      <c r="F414" s="119" t="s">
        <v>1076</v>
      </c>
    </row>
    <row r="415" ht="22.5" customHeight="1">
      <c r="A415" s="117">
        <v>45986.3349230787</v>
      </c>
      <c r="B415" s="118">
        <v>45985.0</v>
      </c>
      <c r="C415" s="119" t="s">
        <v>170</v>
      </c>
      <c r="D415" s="119">
        <v>1.0</v>
      </c>
      <c r="E415" s="119" t="s">
        <v>1073</v>
      </c>
      <c r="F415" s="119" t="s">
        <v>1076</v>
      </c>
    </row>
    <row r="416" ht="22.5" customHeight="1">
      <c r="A416" s="117">
        <v>45986.33562195602</v>
      </c>
      <c r="B416" s="118">
        <v>45985.0</v>
      </c>
      <c r="C416" s="119" t="s">
        <v>612</v>
      </c>
      <c r="D416" s="119">
        <v>100.0</v>
      </c>
      <c r="E416" s="119" t="s">
        <v>1073</v>
      </c>
      <c r="F416" s="119" t="s">
        <v>1076</v>
      </c>
    </row>
    <row r="417" ht="22.5" customHeight="1">
      <c r="A417" s="117">
        <v>45986.33611916666</v>
      </c>
      <c r="B417" s="118">
        <v>45985.0</v>
      </c>
      <c r="C417" s="119" t="s">
        <v>382</v>
      </c>
      <c r="D417" s="119">
        <v>100.0</v>
      </c>
      <c r="E417" s="119" t="s">
        <v>1073</v>
      </c>
      <c r="F417" s="119" t="s">
        <v>1076</v>
      </c>
    </row>
    <row r="418" ht="22.5" customHeight="1">
      <c r="A418" s="117">
        <v>45986.33734935185</v>
      </c>
      <c r="B418" s="118">
        <v>45985.0</v>
      </c>
      <c r="C418" s="119" t="s">
        <v>963</v>
      </c>
      <c r="D418" s="119">
        <v>1.0</v>
      </c>
      <c r="E418" s="119" t="s">
        <v>687</v>
      </c>
      <c r="F418" s="119" t="s">
        <v>1076</v>
      </c>
    </row>
    <row r="419" ht="22.5" customHeight="1">
      <c r="A419" s="117">
        <v>45986.33898197916</v>
      </c>
      <c r="B419" s="118">
        <v>45985.0</v>
      </c>
      <c r="C419" s="119" t="s">
        <v>433</v>
      </c>
      <c r="D419" s="119">
        <v>6.75</v>
      </c>
      <c r="E419" s="119" t="s">
        <v>1073</v>
      </c>
      <c r="F419" s="119" t="s">
        <v>1076</v>
      </c>
    </row>
    <row r="420" ht="22.5" customHeight="1">
      <c r="A420" s="117">
        <v>45986.34186487268</v>
      </c>
      <c r="B420" s="118">
        <v>45985.0</v>
      </c>
      <c r="C420" s="119" t="s">
        <v>875</v>
      </c>
      <c r="D420" s="119">
        <v>25.0</v>
      </c>
      <c r="E420" s="119" t="s">
        <v>687</v>
      </c>
      <c r="F420" s="119" t="s">
        <v>1076</v>
      </c>
    </row>
    <row r="421" ht="22.5" customHeight="1">
      <c r="A421" s="117">
        <v>45986.34320138889</v>
      </c>
      <c r="B421" s="118">
        <v>45985.0</v>
      </c>
      <c r="C421" s="119" t="s">
        <v>350</v>
      </c>
      <c r="D421" s="119">
        <v>26.125</v>
      </c>
      <c r="E421" s="119" t="s">
        <v>1073</v>
      </c>
      <c r="F421" s="119" t="s">
        <v>1076</v>
      </c>
    </row>
    <row r="422" ht="22.5" customHeight="1">
      <c r="A422" s="117">
        <v>45986.34346231481</v>
      </c>
      <c r="B422" s="118">
        <v>45985.0</v>
      </c>
      <c r="C422" s="119" t="s">
        <v>356</v>
      </c>
      <c r="D422" s="119">
        <v>18.075</v>
      </c>
      <c r="E422" s="119" t="s">
        <v>1073</v>
      </c>
      <c r="F422" s="119" t="s">
        <v>1076</v>
      </c>
    </row>
    <row r="423" ht="22.5" customHeight="1">
      <c r="A423" s="117">
        <v>45987.384276122684</v>
      </c>
      <c r="B423" s="118">
        <v>45986.0</v>
      </c>
      <c r="C423" s="119" t="s">
        <v>184</v>
      </c>
      <c r="D423" s="119">
        <v>13.0</v>
      </c>
      <c r="E423" s="119" t="s">
        <v>1073</v>
      </c>
      <c r="F423" s="119" t="s">
        <v>1076</v>
      </c>
    </row>
    <row r="424" ht="22.5" customHeight="1">
      <c r="A424" s="117">
        <v>45987.3845084375</v>
      </c>
      <c r="B424" s="118">
        <v>45986.0</v>
      </c>
      <c r="C424" s="119" t="s">
        <v>324</v>
      </c>
      <c r="D424" s="119">
        <v>1.7</v>
      </c>
      <c r="E424" s="119" t="s">
        <v>1073</v>
      </c>
      <c r="F424" s="119" t="s">
        <v>1076</v>
      </c>
    </row>
    <row r="425" ht="22.5" customHeight="1">
      <c r="A425" s="117">
        <v>45987.385034293984</v>
      </c>
      <c r="B425" s="118">
        <v>45987.0</v>
      </c>
      <c r="C425" s="119" t="s">
        <v>963</v>
      </c>
      <c r="D425" s="119">
        <v>5.0</v>
      </c>
      <c r="E425" s="119" t="s">
        <v>687</v>
      </c>
      <c r="F425" s="119" t="s">
        <v>1076</v>
      </c>
    </row>
    <row r="426" ht="22.5" customHeight="1">
      <c r="A426" s="117">
        <v>45987.68811019676</v>
      </c>
      <c r="B426" s="118">
        <v>45987.0</v>
      </c>
      <c r="C426" s="119" t="s">
        <v>135</v>
      </c>
      <c r="D426" s="119">
        <v>0.4085</v>
      </c>
      <c r="E426" s="119" t="s">
        <v>1073</v>
      </c>
      <c r="F426" s="119" t="s">
        <v>1081</v>
      </c>
    </row>
    <row r="427" ht="22.5" customHeight="1">
      <c r="A427" s="117">
        <v>45987.68844200231</v>
      </c>
      <c r="B427" s="118">
        <v>45987.0</v>
      </c>
      <c r="C427" s="119" t="s">
        <v>957</v>
      </c>
      <c r="D427" s="119">
        <v>1.06</v>
      </c>
      <c r="E427" s="119" t="s">
        <v>687</v>
      </c>
      <c r="F427" s="119" t="s">
        <v>1081</v>
      </c>
    </row>
    <row r="428" ht="22.5" customHeight="1">
      <c r="A428" s="117">
        <v>45987.69261439815</v>
      </c>
      <c r="B428" s="118">
        <v>45987.0</v>
      </c>
      <c r="C428" s="119" t="s">
        <v>274</v>
      </c>
      <c r="D428" s="119">
        <v>8.0</v>
      </c>
      <c r="E428" s="119" t="s">
        <v>1073</v>
      </c>
      <c r="F428" s="119" t="s">
        <v>1076</v>
      </c>
    </row>
    <row r="429" ht="22.5" customHeight="1">
      <c r="A429" s="117">
        <v>45987.693754039356</v>
      </c>
      <c r="B429" s="118">
        <v>45987.0</v>
      </c>
      <c r="C429" s="119" t="s">
        <v>856</v>
      </c>
      <c r="D429" s="119">
        <v>200.0</v>
      </c>
      <c r="E429" s="119" t="s">
        <v>687</v>
      </c>
      <c r="F429" s="119" t="s">
        <v>1090</v>
      </c>
    </row>
    <row r="430" ht="22.5" customHeight="1">
      <c r="A430" s="117">
        <v>45988.71516548611</v>
      </c>
      <c r="B430" s="118">
        <v>45988.0</v>
      </c>
      <c r="C430" s="119" t="s">
        <v>155</v>
      </c>
      <c r="D430" s="119">
        <v>0.96</v>
      </c>
      <c r="E430" s="119" t="s">
        <v>1073</v>
      </c>
      <c r="F430" s="119" t="s">
        <v>1090</v>
      </c>
    </row>
    <row r="431" ht="22.5" customHeight="1">
      <c r="A431" s="117">
        <v>45988.71550125</v>
      </c>
      <c r="B431" s="118">
        <v>45988.0</v>
      </c>
      <c r="C431" s="119" t="s">
        <v>413</v>
      </c>
      <c r="D431" s="119">
        <v>2.0</v>
      </c>
      <c r="E431" s="119" t="s">
        <v>1073</v>
      </c>
      <c r="F431" s="119" t="s">
        <v>1090</v>
      </c>
    </row>
    <row r="432" ht="22.5" customHeight="1">
      <c r="A432" s="117">
        <v>45988.71585013889</v>
      </c>
      <c r="B432" s="118">
        <v>45988.0</v>
      </c>
      <c r="C432" s="119" t="s">
        <v>482</v>
      </c>
      <c r="D432" s="119">
        <v>0.251</v>
      </c>
      <c r="E432" s="119" t="s">
        <v>1073</v>
      </c>
      <c r="F432" s="119" t="s">
        <v>1090</v>
      </c>
    </row>
    <row r="433" ht="22.5" customHeight="1">
      <c r="A433" s="117">
        <v>45988.71615865741</v>
      </c>
      <c r="B433" s="118">
        <v>45988.0</v>
      </c>
      <c r="C433" s="119" t="s">
        <v>519</v>
      </c>
      <c r="D433" s="119">
        <v>82.0</v>
      </c>
      <c r="E433" s="119" t="s">
        <v>1073</v>
      </c>
      <c r="F433" s="119" t="s">
        <v>1090</v>
      </c>
    </row>
    <row r="434" ht="22.5" customHeight="1">
      <c r="A434" s="117">
        <v>45988.71648766204</v>
      </c>
      <c r="B434" s="118">
        <v>45988.0</v>
      </c>
      <c r="C434" s="119" t="s">
        <v>862</v>
      </c>
      <c r="D434" s="119">
        <v>100.0</v>
      </c>
      <c r="E434" s="119" t="s">
        <v>687</v>
      </c>
      <c r="F434" s="119" t="s">
        <v>1090</v>
      </c>
    </row>
    <row r="435" ht="22.5" customHeight="1">
      <c r="A435" s="117">
        <v>45988.7167434838</v>
      </c>
      <c r="B435" s="118">
        <v>45988.0</v>
      </c>
      <c r="C435" s="119" t="s">
        <v>606</v>
      </c>
      <c r="D435" s="119">
        <v>15.0</v>
      </c>
      <c r="E435" s="119" t="s">
        <v>1073</v>
      </c>
      <c r="F435" s="119" t="s">
        <v>1090</v>
      </c>
    </row>
    <row r="436" ht="22.5" customHeight="1">
      <c r="A436" s="117">
        <v>45988.71702293982</v>
      </c>
      <c r="B436" s="118">
        <v>45988.0</v>
      </c>
      <c r="C436" s="119" t="s">
        <v>1006</v>
      </c>
      <c r="D436" s="119">
        <v>75.0</v>
      </c>
      <c r="E436" s="119" t="s">
        <v>687</v>
      </c>
      <c r="F436" s="119" t="s">
        <v>1090</v>
      </c>
    </row>
    <row r="437" ht="22.5" customHeight="1">
      <c r="A437" s="117">
        <v>45988.71733828704</v>
      </c>
      <c r="B437" s="118">
        <v>45988.0</v>
      </c>
      <c r="C437" s="119" t="s">
        <v>831</v>
      </c>
      <c r="D437" s="119">
        <v>15.0</v>
      </c>
      <c r="E437" s="119" t="s">
        <v>687</v>
      </c>
      <c r="F437" s="119" t="s">
        <v>1090</v>
      </c>
    </row>
    <row r="438" ht="22.5" customHeight="1">
      <c r="A438" s="117">
        <v>45988.717606238424</v>
      </c>
      <c r="B438" s="118">
        <v>45987.0</v>
      </c>
      <c r="C438" s="119" t="s">
        <v>991</v>
      </c>
      <c r="D438" s="119">
        <v>5.0</v>
      </c>
      <c r="E438" s="119" t="s">
        <v>687</v>
      </c>
      <c r="F438" s="119" t="s">
        <v>1090</v>
      </c>
    </row>
    <row r="439" ht="22.5" customHeight="1">
      <c r="A439" s="117">
        <v>45988.71863797454</v>
      </c>
      <c r="B439" s="118">
        <v>45988.0</v>
      </c>
      <c r="C439" s="119" t="s">
        <v>991</v>
      </c>
      <c r="D439" s="119">
        <v>5.0</v>
      </c>
      <c r="E439" s="119" t="s">
        <v>687</v>
      </c>
      <c r="F439" s="119" t="s">
        <v>1076</v>
      </c>
    </row>
    <row r="440" ht="22.5" customHeight="1">
      <c r="A440" s="117">
        <v>45989.717228090274</v>
      </c>
      <c r="B440" s="118">
        <v>45989.0</v>
      </c>
      <c r="C440" s="119" t="s">
        <v>606</v>
      </c>
      <c r="D440" s="119">
        <v>3.0</v>
      </c>
      <c r="E440" s="119" t="s">
        <v>1073</v>
      </c>
      <c r="F440" s="119" t="s">
        <v>1076</v>
      </c>
    </row>
    <row r="441" ht="22.5" customHeight="1">
      <c r="A441" s="117">
        <v>45989.71750893518</v>
      </c>
      <c r="B441" s="118">
        <v>45989.0</v>
      </c>
      <c r="C441" s="119" t="s">
        <v>1006</v>
      </c>
      <c r="D441" s="119">
        <v>15.0</v>
      </c>
      <c r="E441" s="119" t="s">
        <v>687</v>
      </c>
      <c r="F441" s="119" t="s">
        <v>1076</v>
      </c>
    </row>
    <row r="442" ht="22.5" customHeight="1">
      <c r="A442" s="117">
        <v>45989.717769016206</v>
      </c>
      <c r="B442" s="118">
        <v>45989.0</v>
      </c>
      <c r="C442" s="119" t="s">
        <v>831</v>
      </c>
      <c r="D442" s="119">
        <v>3.0</v>
      </c>
      <c r="E442" s="119" t="s">
        <v>687</v>
      </c>
      <c r="F442" s="119" t="s">
        <v>1076</v>
      </c>
    </row>
    <row r="443" ht="22.5" customHeight="1">
      <c r="A443" s="117">
        <v>45989.718074375</v>
      </c>
      <c r="B443" s="118">
        <v>45989.0</v>
      </c>
      <c r="C443" s="119" t="s">
        <v>155</v>
      </c>
      <c r="D443" s="119">
        <v>0.8</v>
      </c>
      <c r="E443" s="119" t="s">
        <v>1073</v>
      </c>
      <c r="F443" s="119" t="s">
        <v>1076</v>
      </c>
    </row>
    <row r="444" ht="22.5" customHeight="1">
      <c r="A444" s="117">
        <v>45989.71829638889</v>
      </c>
      <c r="B444" s="118">
        <v>45989.0</v>
      </c>
      <c r="C444" s="119" t="s">
        <v>413</v>
      </c>
      <c r="D444" s="119">
        <v>1.0</v>
      </c>
      <c r="E444" s="119" t="s">
        <v>1073</v>
      </c>
      <c r="F444" s="119" t="s">
        <v>1076</v>
      </c>
    </row>
    <row r="445" ht="22.5" customHeight="1">
      <c r="A445" s="117">
        <v>45989.7187571875</v>
      </c>
      <c r="B445" s="118">
        <v>45989.0</v>
      </c>
      <c r="C445" s="119" t="s">
        <v>170</v>
      </c>
      <c r="D445" s="119">
        <v>15.0</v>
      </c>
      <c r="E445" s="119" t="s">
        <v>1073</v>
      </c>
      <c r="F445" s="119" t="s">
        <v>1076</v>
      </c>
    </row>
    <row r="446" ht="22.5" customHeight="1">
      <c r="A446" s="117">
        <v>45989.72179373843</v>
      </c>
      <c r="B446" s="118">
        <v>45987.0</v>
      </c>
      <c r="C446" s="119" t="s">
        <v>837</v>
      </c>
      <c r="D446" s="119">
        <v>70.0</v>
      </c>
      <c r="E446" s="119" t="s">
        <v>687</v>
      </c>
      <c r="F446" s="119" t="s">
        <v>1076</v>
      </c>
    </row>
    <row r="447" ht="22.5" customHeight="1">
      <c r="A447" s="117">
        <v>45989.725209490745</v>
      </c>
      <c r="B447" s="118">
        <v>45989.0</v>
      </c>
      <c r="C447" s="119" t="s">
        <v>892</v>
      </c>
      <c r="D447" s="119">
        <v>95.0</v>
      </c>
      <c r="E447" s="119" t="s">
        <v>687</v>
      </c>
      <c r="F447" s="119" t="s">
        <v>1076</v>
      </c>
    </row>
    <row r="448" ht="22.5" customHeight="1">
      <c r="A448" s="117">
        <v>45992.6724875463</v>
      </c>
      <c r="B448" s="118">
        <v>45992.0</v>
      </c>
      <c r="C448" s="119" t="s">
        <v>837</v>
      </c>
      <c r="D448" s="119">
        <v>250.0</v>
      </c>
      <c r="E448" s="119" t="s">
        <v>687</v>
      </c>
      <c r="F448" s="119" t="s">
        <v>1081</v>
      </c>
    </row>
    <row r="449" ht="22.5" customHeight="1">
      <c r="A449" s="117">
        <v>45993.391746249996</v>
      </c>
      <c r="B449" s="118">
        <v>45992.0</v>
      </c>
      <c r="C449" s="119" t="s">
        <v>184</v>
      </c>
      <c r="D449" s="119">
        <v>1.4</v>
      </c>
      <c r="E449" s="119" t="s">
        <v>1073</v>
      </c>
      <c r="F449" s="119" t="s">
        <v>1076</v>
      </c>
    </row>
    <row r="450" ht="22.5" customHeight="1">
      <c r="A450" s="117">
        <v>45993.39202677083</v>
      </c>
      <c r="B450" s="118">
        <v>45992.0</v>
      </c>
      <c r="C450" s="119" t="s">
        <v>225</v>
      </c>
      <c r="D450" s="119">
        <v>0.25</v>
      </c>
      <c r="E450" s="119" t="s">
        <v>1073</v>
      </c>
      <c r="F450" s="119" t="s">
        <v>1076</v>
      </c>
    </row>
    <row r="451" ht="22.5" customHeight="1">
      <c r="A451" s="117">
        <v>45993.392275046295</v>
      </c>
      <c r="B451" s="118">
        <v>45992.0</v>
      </c>
      <c r="C451" s="119" t="s">
        <v>239</v>
      </c>
      <c r="D451" s="119">
        <v>10.0</v>
      </c>
      <c r="E451" s="119" t="s">
        <v>1073</v>
      </c>
      <c r="F451" s="119" t="s">
        <v>1076</v>
      </c>
    </row>
    <row r="452" ht="22.5" customHeight="1">
      <c r="A452" s="117">
        <v>45993.392569143514</v>
      </c>
      <c r="B452" s="118">
        <v>45992.0</v>
      </c>
      <c r="C452" s="119" t="s">
        <v>155</v>
      </c>
      <c r="D452" s="119">
        <v>0.53</v>
      </c>
      <c r="E452" s="119" t="s">
        <v>1073</v>
      </c>
      <c r="F452" s="119" t="s">
        <v>1076</v>
      </c>
    </row>
    <row r="453" ht="22.5" customHeight="1">
      <c r="A453" s="117">
        <v>45993.392892222226</v>
      </c>
      <c r="B453" s="118">
        <v>45992.0</v>
      </c>
      <c r="C453" s="119" t="s">
        <v>588</v>
      </c>
      <c r="D453" s="119">
        <v>20.0</v>
      </c>
      <c r="E453" s="119" t="s">
        <v>1073</v>
      </c>
      <c r="F453" s="119" t="s">
        <v>1076</v>
      </c>
    </row>
    <row r="454" ht="22.5" customHeight="1">
      <c r="A454" s="117">
        <v>45993.39322226852</v>
      </c>
      <c r="B454" s="118">
        <v>45992.0</v>
      </c>
      <c r="C454" s="119" t="s">
        <v>191</v>
      </c>
      <c r="D454" s="119">
        <v>2.0</v>
      </c>
      <c r="E454" s="119" t="s">
        <v>1073</v>
      </c>
      <c r="F454" s="119" t="s">
        <v>1076</v>
      </c>
    </row>
    <row r="455" ht="22.5" customHeight="1">
      <c r="A455" s="117">
        <v>45993.39448425926</v>
      </c>
      <c r="B455" s="118">
        <v>45992.0</v>
      </c>
      <c r="C455" s="119" t="s">
        <v>882</v>
      </c>
      <c r="D455" s="119">
        <v>15.0</v>
      </c>
      <c r="E455" s="119" t="s">
        <v>687</v>
      </c>
      <c r="F455" s="119" t="s">
        <v>1076</v>
      </c>
    </row>
    <row r="456" ht="22.5" customHeight="1">
      <c r="A456" s="117">
        <v>45993.3950841551</v>
      </c>
      <c r="B456" s="118">
        <v>45992.0</v>
      </c>
      <c r="C456" s="119" t="s">
        <v>850</v>
      </c>
      <c r="D456" s="119">
        <v>150.0</v>
      </c>
      <c r="E456" s="119" t="s">
        <v>687</v>
      </c>
      <c r="F456" s="119" t="s">
        <v>1090</v>
      </c>
    </row>
    <row r="457" ht="22.5" customHeight="1">
      <c r="A457" s="117">
        <v>45993.39537079861</v>
      </c>
      <c r="B457" s="118">
        <v>45992.0</v>
      </c>
      <c r="C457" s="119" t="s">
        <v>882</v>
      </c>
      <c r="D457" s="119">
        <v>8.0</v>
      </c>
      <c r="E457" s="119" t="s">
        <v>687</v>
      </c>
      <c r="F457" s="119" t="s">
        <v>1090</v>
      </c>
    </row>
    <row r="458" ht="22.5" customHeight="1">
      <c r="A458" s="117">
        <v>45993.39647490741</v>
      </c>
      <c r="B458" s="118">
        <v>45992.0</v>
      </c>
      <c r="C458" s="119" t="s">
        <v>337</v>
      </c>
      <c r="D458" s="119">
        <v>10.0</v>
      </c>
      <c r="E458" s="119" t="s">
        <v>1073</v>
      </c>
      <c r="F458" s="119" t="s">
        <v>1090</v>
      </c>
    </row>
    <row r="459" ht="22.5" customHeight="1">
      <c r="A459" s="117">
        <v>45993.39741210648</v>
      </c>
      <c r="B459" s="118">
        <v>45993.0</v>
      </c>
      <c r="C459" s="119" t="s">
        <v>576</v>
      </c>
      <c r="D459" s="119">
        <v>20.0</v>
      </c>
      <c r="E459" s="119" t="s">
        <v>1073</v>
      </c>
      <c r="F459" s="119" t="s">
        <v>1076</v>
      </c>
    </row>
    <row r="460" ht="22.5" customHeight="1">
      <c r="A460" s="117">
        <v>45993.39772337963</v>
      </c>
      <c r="B460" s="118">
        <v>45993.0</v>
      </c>
      <c r="C460" s="119" t="s">
        <v>38</v>
      </c>
      <c r="D460" s="119">
        <v>20.0</v>
      </c>
      <c r="E460" s="119" t="s">
        <v>1073</v>
      </c>
      <c r="F460" s="119" t="s">
        <v>1076</v>
      </c>
    </row>
    <row r="461" ht="22.5" customHeight="1">
      <c r="A461" s="117">
        <v>45993.39810612268</v>
      </c>
      <c r="B461" s="118">
        <v>45993.0</v>
      </c>
      <c r="C461" s="119" t="s">
        <v>155</v>
      </c>
      <c r="D461" s="119">
        <v>0.8</v>
      </c>
      <c r="E461" s="119" t="s">
        <v>1073</v>
      </c>
      <c r="F461" s="119" t="s">
        <v>1076</v>
      </c>
    </row>
    <row r="462" ht="22.5" customHeight="1">
      <c r="A462" s="117">
        <v>45993.39838978009</v>
      </c>
      <c r="B462" s="118">
        <v>45993.0</v>
      </c>
      <c r="C462" s="119" t="s">
        <v>413</v>
      </c>
      <c r="D462" s="119">
        <v>1.0</v>
      </c>
      <c r="E462" s="119" t="s">
        <v>1073</v>
      </c>
      <c r="F462" s="119" t="s">
        <v>1076</v>
      </c>
    </row>
    <row r="463" ht="22.5" customHeight="1">
      <c r="A463" s="117">
        <v>45993.44522226852</v>
      </c>
      <c r="B463" s="118">
        <v>45992.0</v>
      </c>
      <c r="C463" s="119" t="s">
        <v>920</v>
      </c>
      <c r="D463" s="119">
        <v>333.0</v>
      </c>
      <c r="E463" s="119" t="s">
        <v>687</v>
      </c>
      <c r="F463" s="119" t="s">
        <v>1095</v>
      </c>
    </row>
    <row r="464" ht="22.5" customHeight="1">
      <c r="A464" s="117">
        <v>45994.45541369213</v>
      </c>
      <c r="B464" s="118">
        <v>45994.0</v>
      </c>
      <c r="C464" s="119" t="s">
        <v>831</v>
      </c>
      <c r="D464" s="119">
        <v>37.5</v>
      </c>
      <c r="E464" s="119" t="s">
        <v>687</v>
      </c>
      <c r="F464" s="119" t="s">
        <v>1081</v>
      </c>
    </row>
    <row r="465" ht="22.5" customHeight="1">
      <c r="A465" s="117">
        <v>45994.45586824074</v>
      </c>
      <c r="B465" s="118">
        <v>45994.0</v>
      </c>
      <c r="C465" s="119" t="s">
        <v>817</v>
      </c>
      <c r="D465" s="119">
        <v>100.0</v>
      </c>
      <c r="E465" s="119" t="s">
        <v>687</v>
      </c>
      <c r="F465" s="119" t="s">
        <v>1081</v>
      </c>
    </row>
    <row r="466" ht="22.5" customHeight="1">
      <c r="A466" s="117">
        <v>45995.040571053236</v>
      </c>
      <c r="B466" s="118">
        <v>45994.0</v>
      </c>
      <c r="C466" s="119" t="s">
        <v>420</v>
      </c>
      <c r="D466" s="119">
        <v>1.5005</v>
      </c>
      <c r="E466" s="119" t="s">
        <v>1073</v>
      </c>
      <c r="F466" s="119" t="s">
        <v>1077</v>
      </c>
    </row>
    <row r="467" ht="22.5" customHeight="1">
      <c r="A467" s="117">
        <v>45995.33941354167</v>
      </c>
      <c r="B467" s="118">
        <v>45994.0</v>
      </c>
      <c r="C467" s="119" t="s">
        <v>850</v>
      </c>
      <c r="D467" s="119">
        <v>680.0</v>
      </c>
      <c r="E467" s="119" t="s">
        <v>687</v>
      </c>
      <c r="F467" s="119" t="s">
        <v>1076</v>
      </c>
    </row>
    <row r="468" ht="22.5" customHeight="1">
      <c r="A468" s="117">
        <v>45995.34133846065</v>
      </c>
      <c r="B468" s="118">
        <v>45994.0</v>
      </c>
      <c r="C468" s="119" t="s">
        <v>407</v>
      </c>
      <c r="D468" s="119">
        <v>5.0</v>
      </c>
      <c r="E468" s="119" t="s">
        <v>1073</v>
      </c>
      <c r="F468" s="119" t="s">
        <v>1076</v>
      </c>
    </row>
    <row r="469" ht="22.5" customHeight="1">
      <c r="A469" s="117">
        <v>45995.344038668976</v>
      </c>
      <c r="B469" s="118">
        <v>45993.0</v>
      </c>
      <c r="C469" s="119" t="s">
        <v>177</v>
      </c>
      <c r="D469" s="119">
        <v>5.0</v>
      </c>
      <c r="E469" s="119" t="s">
        <v>1073</v>
      </c>
      <c r="F469" s="119" t="s">
        <v>1076</v>
      </c>
    </row>
    <row r="470" ht="22.5" customHeight="1">
      <c r="A470" s="117">
        <v>45995.41109878472</v>
      </c>
      <c r="B470" s="118">
        <v>45994.0</v>
      </c>
      <c r="C470" s="119" t="s">
        <v>623</v>
      </c>
      <c r="D470" s="119">
        <v>0.1</v>
      </c>
      <c r="E470" s="119" t="s">
        <v>1073</v>
      </c>
      <c r="F470" s="119" t="s">
        <v>1081</v>
      </c>
    </row>
    <row r="471" ht="22.5" customHeight="1">
      <c r="A471" s="117">
        <v>45995.41169057871</v>
      </c>
      <c r="B471" s="118">
        <v>45994.0</v>
      </c>
      <c r="C471" s="119" t="s">
        <v>155</v>
      </c>
      <c r="D471" s="119">
        <v>0.021</v>
      </c>
      <c r="E471" s="119" t="s">
        <v>1073</v>
      </c>
      <c r="F471" s="119" t="s">
        <v>1081</v>
      </c>
    </row>
    <row r="472" ht="22.5" customHeight="1">
      <c r="A472" s="117">
        <v>45995.41252790509</v>
      </c>
      <c r="B472" s="118">
        <v>45994.0</v>
      </c>
      <c r="C472" s="119" t="s">
        <v>232</v>
      </c>
      <c r="D472" s="119">
        <v>7.1305</v>
      </c>
      <c r="E472" s="119" t="s">
        <v>1073</v>
      </c>
      <c r="F472" s="119" t="s">
        <v>1081</v>
      </c>
    </row>
    <row r="473" ht="22.5" customHeight="1">
      <c r="A473" s="117">
        <v>45995.41313354167</v>
      </c>
      <c r="B473" s="118">
        <v>45995.0</v>
      </c>
      <c r="C473" s="119" t="s">
        <v>155</v>
      </c>
      <c r="D473" s="119">
        <v>5.0223</v>
      </c>
      <c r="E473" s="119" t="s">
        <v>1073</v>
      </c>
      <c r="F473" s="119" t="s">
        <v>1081</v>
      </c>
    </row>
    <row r="474" ht="22.5" customHeight="1">
      <c r="A474" s="117">
        <v>45995.41382353009</v>
      </c>
      <c r="B474" s="118">
        <v>45995.0</v>
      </c>
      <c r="C474" s="119" t="s">
        <v>464</v>
      </c>
      <c r="D474" s="119">
        <v>25.0023</v>
      </c>
      <c r="E474" s="119" t="s">
        <v>1073</v>
      </c>
      <c r="F474" s="119" t="s">
        <v>1081</v>
      </c>
    </row>
    <row r="475" ht="22.5" customHeight="1">
      <c r="A475" s="117">
        <v>45995.41432207176</v>
      </c>
      <c r="B475" s="118">
        <v>45995.0</v>
      </c>
      <c r="C475" s="119" t="s">
        <v>831</v>
      </c>
      <c r="D475" s="119">
        <v>12.5</v>
      </c>
      <c r="E475" s="119" t="s">
        <v>687</v>
      </c>
      <c r="F475" s="119" t="s">
        <v>1081</v>
      </c>
    </row>
    <row r="476" ht="22.5" customHeight="1">
      <c r="A476" s="117">
        <v>45995.415105486114</v>
      </c>
      <c r="B476" s="118">
        <v>45995.0</v>
      </c>
      <c r="C476" s="119" t="s">
        <v>751</v>
      </c>
      <c r="D476" s="119">
        <v>1.0</v>
      </c>
      <c r="E476" s="119" t="s">
        <v>687</v>
      </c>
      <c r="F476" s="119" t="s">
        <v>1081</v>
      </c>
    </row>
    <row r="477" ht="22.5" customHeight="1">
      <c r="A477" s="117">
        <v>45995.44278440972</v>
      </c>
      <c r="B477" s="118">
        <v>45995.0</v>
      </c>
      <c r="C477" s="119" t="s">
        <v>191</v>
      </c>
      <c r="D477" s="119">
        <v>1.0</v>
      </c>
      <c r="E477" s="119" t="s">
        <v>1073</v>
      </c>
      <c r="F477" s="119" t="s">
        <v>1076</v>
      </c>
    </row>
    <row r="478" ht="22.5" customHeight="1">
      <c r="A478" s="117">
        <v>45995.443153252316</v>
      </c>
      <c r="B478" s="118">
        <v>45995.0</v>
      </c>
      <c r="C478" s="119" t="s">
        <v>850</v>
      </c>
      <c r="D478" s="119">
        <v>175.0</v>
      </c>
      <c r="E478" s="119" t="s">
        <v>687</v>
      </c>
      <c r="F478" s="119" t="s">
        <v>1076</v>
      </c>
    </row>
    <row r="479" ht="22.5" customHeight="1">
      <c r="A479" s="117">
        <v>45995.47901170139</v>
      </c>
      <c r="B479" s="118">
        <v>45995.0</v>
      </c>
      <c r="C479" s="119" t="s">
        <v>882</v>
      </c>
      <c r="D479" s="119">
        <v>2.0</v>
      </c>
      <c r="E479" s="119" t="s">
        <v>687</v>
      </c>
      <c r="F479" s="119" t="s">
        <v>1090</v>
      </c>
    </row>
    <row r="480" ht="22.5" customHeight="1">
      <c r="A480" s="117">
        <v>45995.47960377314</v>
      </c>
      <c r="B480" s="118">
        <v>45995.0</v>
      </c>
      <c r="C480" s="119" t="s">
        <v>177</v>
      </c>
      <c r="D480" s="119">
        <v>35.0</v>
      </c>
      <c r="E480" s="119" t="s">
        <v>1073</v>
      </c>
      <c r="F480" s="119" t="s">
        <v>1076</v>
      </c>
    </row>
    <row r="481" ht="22.5" customHeight="1">
      <c r="A481" s="117">
        <v>45995.47990225695</v>
      </c>
      <c r="B481" s="118">
        <v>45995.0</v>
      </c>
      <c r="C481" s="119" t="s">
        <v>594</v>
      </c>
      <c r="D481" s="119">
        <v>10.0</v>
      </c>
      <c r="E481" s="119" t="s">
        <v>1073</v>
      </c>
      <c r="F481" s="119" t="s">
        <v>1076</v>
      </c>
    </row>
    <row r="482" ht="22.5" customHeight="1">
      <c r="A482" s="117">
        <v>45995.48015263889</v>
      </c>
      <c r="B482" s="118">
        <v>45995.0</v>
      </c>
      <c r="C482" s="119" t="s">
        <v>239</v>
      </c>
      <c r="D482" s="119">
        <v>10.0</v>
      </c>
      <c r="E482" s="119" t="s">
        <v>1073</v>
      </c>
      <c r="F482" s="119" t="s">
        <v>1076</v>
      </c>
    </row>
    <row r="483" ht="22.5" customHeight="1">
      <c r="A483" s="117">
        <v>45995.480403946756</v>
      </c>
      <c r="B483" s="118">
        <v>45995.0</v>
      </c>
      <c r="C483" s="119" t="s">
        <v>155</v>
      </c>
      <c r="D483" s="119">
        <v>1.3</v>
      </c>
      <c r="E483" s="119" t="s">
        <v>1073</v>
      </c>
      <c r="F483" s="119" t="s">
        <v>1076</v>
      </c>
    </row>
    <row r="484" ht="22.5" customHeight="1">
      <c r="A484" s="117">
        <v>45996.62402413195</v>
      </c>
      <c r="B484" s="118">
        <v>45996.0</v>
      </c>
      <c r="C484" s="119" t="s">
        <v>798</v>
      </c>
      <c r="D484" s="119">
        <v>20.0</v>
      </c>
      <c r="E484" s="119" t="s">
        <v>687</v>
      </c>
      <c r="F484" s="119" t="s">
        <v>1090</v>
      </c>
    </row>
    <row r="485" ht="22.5" customHeight="1">
      <c r="A485" s="117">
        <v>45996.624496296296</v>
      </c>
      <c r="B485" s="118">
        <v>45996.0</v>
      </c>
      <c r="C485" s="119" t="s">
        <v>324</v>
      </c>
      <c r="D485" s="119">
        <v>5.0</v>
      </c>
      <c r="E485" s="119" t="s">
        <v>687</v>
      </c>
      <c r="F485" s="119" t="s">
        <v>1076</v>
      </c>
    </row>
    <row r="486" ht="22.5" customHeight="1">
      <c r="A486" s="117">
        <v>45996.62608178241</v>
      </c>
      <c r="B486" s="118">
        <v>45995.0</v>
      </c>
      <c r="C486" s="119" t="s">
        <v>177</v>
      </c>
      <c r="D486" s="119">
        <v>6.0</v>
      </c>
      <c r="E486" s="119" t="s">
        <v>1073</v>
      </c>
      <c r="F486" s="119" t="s">
        <v>1076</v>
      </c>
    </row>
    <row r="487" ht="22.5" customHeight="1">
      <c r="A487" s="117">
        <v>45999.35788145833</v>
      </c>
      <c r="B487" s="118">
        <v>45996.0</v>
      </c>
      <c r="C487" s="119" t="s">
        <v>470</v>
      </c>
      <c r="D487" s="119">
        <v>4.0</v>
      </c>
      <c r="E487" s="119" t="s">
        <v>1073</v>
      </c>
      <c r="F487" s="119" t="s">
        <v>1084</v>
      </c>
    </row>
    <row r="488" ht="22.5" customHeight="1">
      <c r="A488" s="117">
        <v>45999.462245532406</v>
      </c>
      <c r="B488" s="118">
        <v>45999.0</v>
      </c>
      <c r="C488" s="119" t="s">
        <v>155</v>
      </c>
      <c r="D488" s="119">
        <v>1.24</v>
      </c>
      <c r="E488" s="119" t="s">
        <v>1073</v>
      </c>
      <c r="F488" s="119" t="s">
        <v>1079</v>
      </c>
    </row>
    <row r="489" ht="22.5" customHeight="1">
      <c r="A489" s="117">
        <v>45999.46271475694</v>
      </c>
      <c r="B489" s="118">
        <v>45999.0</v>
      </c>
      <c r="C489" s="119" t="s">
        <v>464</v>
      </c>
      <c r="D489" s="119">
        <v>5.1</v>
      </c>
      <c r="E489" s="119" t="s">
        <v>1073</v>
      </c>
      <c r="F489" s="119" t="s">
        <v>1079</v>
      </c>
    </row>
    <row r="490" ht="22.5" customHeight="1">
      <c r="A490" s="117">
        <v>45999.463191435185</v>
      </c>
      <c r="B490" s="118">
        <v>45999.0</v>
      </c>
      <c r="C490" s="119" t="s">
        <v>831</v>
      </c>
      <c r="D490" s="119">
        <v>12.5</v>
      </c>
      <c r="E490" s="119" t="s">
        <v>687</v>
      </c>
      <c r="F490" s="119" t="s">
        <v>1079</v>
      </c>
    </row>
    <row r="491" ht="22.5" customHeight="1">
      <c r="A491" s="117">
        <v>45999.46366868056</v>
      </c>
      <c r="B491" s="118">
        <v>45999.0</v>
      </c>
      <c r="C491" s="119" t="s">
        <v>751</v>
      </c>
      <c r="D491" s="119">
        <v>2.5</v>
      </c>
      <c r="E491" s="119" t="s">
        <v>687</v>
      </c>
      <c r="F491" s="119" t="s">
        <v>1079</v>
      </c>
    </row>
    <row r="492" ht="22.5" customHeight="1">
      <c r="A492" s="117">
        <v>45999.48416467593</v>
      </c>
      <c r="B492" s="118">
        <v>45999.0</v>
      </c>
      <c r="C492" s="119" t="s">
        <v>963</v>
      </c>
      <c r="D492" s="119">
        <v>1.0</v>
      </c>
      <c r="E492" s="119" t="s">
        <v>687</v>
      </c>
      <c r="F492" s="119" t="s">
        <v>1090</v>
      </c>
    </row>
    <row r="493" ht="22.5" customHeight="1">
      <c r="A493" s="117">
        <v>45999.5877341088</v>
      </c>
      <c r="B493" s="118">
        <v>45999.0</v>
      </c>
      <c r="C493" s="119" t="s">
        <v>163</v>
      </c>
      <c r="D493" s="119">
        <v>37.5128</v>
      </c>
      <c r="E493" s="119" t="s">
        <v>1073</v>
      </c>
      <c r="F493" s="119" t="s">
        <v>1077</v>
      </c>
    </row>
    <row r="494" ht="22.5" customHeight="1">
      <c r="A494" s="117">
        <v>45999.58824275463</v>
      </c>
      <c r="B494" s="118">
        <v>45999.0</v>
      </c>
      <c r="C494" s="119" t="s">
        <v>823</v>
      </c>
      <c r="D494" s="119">
        <v>40.0</v>
      </c>
      <c r="E494" s="119" t="s">
        <v>687</v>
      </c>
      <c r="F494" s="119" t="s">
        <v>1077</v>
      </c>
    </row>
    <row r="495" ht="22.5" customHeight="1">
      <c r="A495" s="117">
        <v>45999.588555208335</v>
      </c>
      <c r="B495" s="118">
        <v>45999.0</v>
      </c>
      <c r="C495" s="119" t="s">
        <v>850</v>
      </c>
      <c r="D495" s="119">
        <v>250.0</v>
      </c>
      <c r="E495" s="119" t="s">
        <v>687</v>
      </c>
      <c r="F495" s="119" t="s">
        <v>1077</v>
      </c>
    </row>
    <row r="496" ht="22.5" customHeight="1">
      <c r="A496" s="117">
        <v>45999.589892372685</v>
      </c>
      <c r="B496" s="118">
        <v>45999.0</v>
      </c>
      <c r="C496" s="119" t="s">
        <v>369</v>
      </c>
      <c r="D496" s="119">
        <v>1.0</v>
      </c>
      <c r="E496" s="119" t="s">
        <v>1073</v>
      </c>
      <c r="F496" s="119" t="s">
        <v>1077</v>
      </c>
    </row>
    <row r="497" ht="22.5" customHeight="1">
      <c r="A497" s="117">
        <v>45999.593495775465</v>
      </c>
      <c r="B497" s="118">
        <v>45999.0</v>
      </c>
      <c r="C497" s="119" t="s">
        <v>831</v>
      </c>
      <c r="D497" s="119">
        <v>18.0</v>
      </c>
      <c r="E497" s="119" t="s">
        <v>687</v>
      </c>
      <c r="F497" s="119" t="s">
        <v>1077</v>
      </c>
    </row>
    <row r="498" ht="22.5" customHeight="1">
      <c r="A498" s="117">
        <v>45999.5992974074</v>
      </c>
      <c r="B498" s="118">
        <v>45996.0</v>
      </c>
      <c r="C498" s="119" t="s">
        <v>551</v>
      </c>
      <c r="D498" s="119">
        <v>3.0098</v>
      </c>
      <c r="E498" s="119" t="s">
        <v>1073</v>
      </c>
      <c r="F498" s="119" t="s">
        <v>1077</v>
      </c>
    </row>
    <row r="499" ht="22.5" customHeight="1">
      <c r="A499" s="117">
        <v>45999.60118028935</v>
      </c>
      <c r="B499" s="118">
        <v>45996.0</v>
      </c>
      <c r="C499" s="119" t="s">
        <v>155</v>
      </c>
      <c r="D499" s="119">
        <v>2.5004</v>
      </c>
      <c r="E499" s="119" t="s">
        <v>1073</v>
      </c>
      <c r="F499" s="119" t="s">
        <v>1077</v>
      </c>
    </row>
    <row r="500" ht="22.5" customHeight="1">
      <c r="A500" s="117">
        <v>45999.602302175925</v>
      </c>
      <c r="B500" s="118">
        <v>45996.0</v>
      </c>
      <c r="C500" s="119" t="s">
        <v>464</v>
      </c>
      <c r="D500" s="119">
        <v>12.5015</v>
      </c>
      <c r="E500" s="119" t="s">
        <v>1073</v>
      </c>
      <c r="F500" s="119" t="s">
        <v>1077</v>
      </c>
    </row>
    <row r="501" ht="22.5" customHeight="1">
      <c r="A501" s="117">
        <v>46000.652180046294</v>
      </c>
      <c r="B501" s="118">
        <v>46000.0</v>
      </c>
      <c r="C501" s="119" t="s">
        <v>831</v>
      </c>
      <c r="D501" s="119">
        <v>37.5</v>
      </c>
      <c r="E501" s="119" t="s">
        <v>687</v>
      </c>
      <c r="F501" s="119" t="s">
        <v>1079</v>
      </c>
    </row>
    <row r="502" ht="22.5" customHeight="1">
      <c r="A502" s="117">
        <v>46000.65320700231</v>
      </c>
      <c r="B502" s="118">
        <v>46000.0</v>
      </c>
      <c r="C502" s="119" t="s">
        <v>551</v>
      </c>
      <c r="D502" s="119">
        <v>0.71</v>
      </c>
      <c r="E502" s="119" t="s">
        <v>1073</v>
      </c>
      <c r="F502" s="119" t="s">
        <v>1079</v>
      </c>
    </row>
    <row r="503" ht="22.5" customHeight="1">
      <c r="A503" s="117">
        <v>46000.654120543986</v>
      </c>
      <c r="B503" s="118">
        <v>46000.0</v>
      </c>
      <c r="C503" s="119" t="s">
        <v>464</v>
      </c>
      <c r="D503" s="119">
        <v>7.52</v>
      </c>
      <c r="E503" s="119" t="s">
        <v>1073</v>
      </c>
      <c r="F503" s="119" t="s">
        <v>1079</v>
      </c>
    </row>
    <row r="504" ht="22.5" customHeight="1">
      <c r="A504" s="117">
        <v>46000.655569236114</v>
      </c>
      <c r="B504" s="118">
        <v>46000.0</v>
      </c>
      <c r="C504" s="119" t="s">
        <v>155</v>
      </c>
      <c r="D504" s="119">
        <v>1.56</v>
      </c>
      <c r="E504" s="119" t="s">
        <v>1073</v>
      </c>
      <c r="F504" s="119" t="s">
        <v>1079</v>
      </c>
    </row>
    <row r="505" ht="22.5" customHeight="1">
      <c r="A505" s="117">
        <v>46000.65891420138</v>
      </c>
      <c r="B505" s="118">
        <v>46000.0</v>
      </c>
      <c r="C505" s="119" t="s">
        <v>612</v>
      </c>
      <c r="D505" s="119">
        <v>50.1</v>
      </c>
      <c r="E505" s="119" t="s">
        <v>1073</v>
      </c>
      <c r="F505" s="119" t="s">
        <v>1079</v>
      </c>
    </row>
    <row r="506" ht="22.5" customHeight="1">
      <c r="A506" s="117">
        <v>46000.68575824074</v>
      </c>
      <c r="B506" s="118">
        <v>46000.0</v>
      </c>
      <c r="C506" s="119" t="s">
        <v>38</v>
      </c>
      <c r="D506" s="119">
        <v>15.0</v>
      </c>
      <c r="E506" s="119" t="s">
        <v>1073</v>
      </c>
      <c r="F506" s="119" t="s">
        <v>1077</v>
      </c>
    </row>
    <row r="507" ht="22.5" customHeight="1">
      <c r="A507" s="117">
        <v>46000.68601806713</v>
      </c>
      <c r="B507" s="118">
        <v>46000.0</v>
      </c>
      <c r="C507" s="119" t="s">
        <v>576</v>
      </c>
      <c r="D507" s="119">
        <v>15.0</v>
      </c>
      <c r="E507" s="119" t="s">
        <v>1073</v>
      </c>
      <c r="F507" s="119" t="s">
        <v>1077</v>
      </c>
    </row>
    <row r="508" ht="22.5" customHeight="1">
      <c r="A508" s="117">
        <v>46000.686285856485</v>
      </c>
      <c r="B508" s="118">
        <v>46000.0</v>
      </c>
      <c r="C508" s="119" t="s">
        <v>191</v>
      </c>
      <c r="D508" s="119">
        <v>0.5</v>
      </c>
      <c r="E508" s="119" t="s">
        <v>1073</v>
      </c>
      <c r="F508" s="119" t="s">
        <v>1077</v>
      </c>
    </row>
    <row r="509" ht="22.5" customHeight="1">
      <c r="A509" s="117">
        <v>46000.68674761574</v>
      </c>
      <c r="B509" s="118">
        <v>46000.0</v>
      </c>
      <c r="C509" s="119" t="s">
        <v>274</v>
      </c>
      <c r="D509" s="119">
        <v>2.0</v>
      </c>
      <c r="E509" s="119" t="s">
        <v>1073</v>
      </c>
      <c r="F509" s="119" t="s">
        <v>1077</v>
      </c>
    </row>
    <row r="510" ht="22.5" customHeight="1">
      <c r="A510" s="117">
        <v>46000.689994988425</v>
      </c>
      <c r="B510" s="118">
        <v>46000.0</v>
      </c>
      <c r="C510" s="119" t="s">
        <v>850</v>
      </c>
      <c r="D510" s="119">
        <v>300.0</v>
      </c>
      <c r="E510" s="119" t="s">
        <v>687</v>
      </c>
      <c r="F510" s="119" t="s">
        <v>1077</v>
      </c>
    </row>
    <row r="511" ht="22.5" customHeight="1">
      <c r="A511" s="117">
        <v>46000.69087445602</v>
      </c>
      <c r="B511" s="118">
        <v>46000.0</v>
      </c>
      <c r="C511" s="119" t="s">
        <v>963</v>
      </c>
      <c r="D511" s="119">
        <v>5.0</v>
      </c>
      <c r="E511" s="119" t="s">
        <v>687</v>
      </c>
      <c r="F511" s="119" t="s">
        <v>1077</v>
      </c>
    </row>
    <row r="512" ht="22.5" customHeight="1">
      <c r="A512" s="117">
        <v>46001.44168871528</v>
      </c>
      <c r="B512" s="118">
        <v>46000.0</v>
      </c>
      <c r="C512" s="119" t="s">
        <v>944</v>
      </c>
      <c r="D512" s="119">
        <v>2.0</v>
      </c>
      <c r="E512" s="119" t="s">
        <v>562</v>
      </c>
      <c r="F512" s="119" t="s">
        <v>1084</v>
      </c>
    </row>
    <row r="513" ht="22.5" customHeight="1">
      <c r="A513" s="117">
        <v>46001.65022962963</v>
      </c>
      <c r="B513" s="118">
        <v>46001.0</v>
      </c>
      <c r="C513" s="119" t="s">
        <v>898</v>
      </c>
      <c r="D513" s="119">
        <v>25.0</v>
      </c>
      <c r="E513" s="119" t="s">
        <v>687</v>
      </c>
      <c r="F513" s="119" t="s">
        <v>1076</v>
      </c>
    </row>
    <row r="514" ht="22.5" customHeight="1">
      <c r="A514" s="117">
        <v>46001.650475787035</v>
      </c>
      <c r="B514" s="118">
        <v>46001.0</v>
      </c>
      <c r="C514" s="119" t="s">
        <v>909</v>
      </c>
      <c r="D514" s="119">
        <v>25.0</v>
      </c>
      <c r="E514" s="119" t="s">
        <v>687</v>
      </c>
      <c r="F514" s="119" t="s">
        <v>1076</v>
      </c>
    </row>
    <row r="515" ht="22.5" customHeight="1">
      <c r="A515" s="117">
        <v>46002.68428136574</v>
      </c>
      <c r="B515" s="118">
        <v>45999.0</v>
      </c>
      <c r="C515" s="119" t="s">
        <v>751</v>
      </c>
      <c r="D515" s="119">
        <v>2.5</v>
      </c>
      <c r="E515" s="119" t="s">
        <v>687</v>
      </c>
      <c r="F515" s="119" t="s">
        <v>1079</v>
      </c>
    </row>
    <row r="516" ht="22.5" customHeight="1">
      <c r="A516" s="117">
        <v>46002.684860532405</v>
      </c>
      <c r="B516" s="118">
        <v>45999.0</v>
      </c>
      <c r="C516" s="119" t="s">
        <v>831</v>
      </c>
      <c r="D516" s="119">
        <v>12.5</v>
      </c>
      <c r="E516" s="119" t="s">
        <v>687</v>
      </c>
      <c r="F516" s="119" t="s">
        <v>1079</v>
      </c>
    </row>
    <row r="517" ht="22.5" customHeight="1">
      <c r="A517" s="117">
        <v>46002.68540159722</v>
      </c>
      <c r="B517" s="118">
        <v>45999.0</v>
      </c>
      <c r="C517" s="119" t="s">
        <v>155</v>
      </c>
      <c r="D517" s="119">
        <v>1.1</v>
      </c>
      <c r="E517" s="119" t="s">
        <v>1073</v>
      </c>
      <c r="F517" s="119" t="s">
        <v>1079</v>
      </c>
    </row>
    <row r="518" ht="22.5" customHeight="1">
      <c r="A518" s="117">
        <v>46002.68613798611</v>
      </c>
      <c r="B518" s="118">
        <v>45999.0</v>
      </c>
      <c r="C518" s="119" t="s">
        <v>464</v>
      </c>
      <c r="D518" s="119">
        <v>5.1</v>
      </c>
      <c r="E518" s="119" t="s">
        <v>1073</v>
      </c>
      <c r="F518" s="119" t="s">
        <v>1079</v>
      </c>
    </row>
    <row r="519" ht="22.5" customHeight="1">
      <c r="A519" s="117">
        <v>46002.68698454861</v>
      </c>
      <c r="B519" s="118">
        <v>46000.0</v>
      </c>
      <c r="C519" s="119" t="s">
        <v>831</v>
      </c>
      <c r="D519" s="119">
        <v>25.0</v>
      </c>
      <c r="E519" s="119" t="s">
        <v>687</v>
      </c>
      <c r="F519" s="119" t="s">
        <v>1079</v>
      </c>
    </row>
    <row r="520" ht="22.5" customHeight="1">
      <c r="A520" s="117">
        <v>46002.68748952546</v>
      </c>
      <c r="B520" s="118">
        <v>46000.0</v>
      </c>
      <c r="C520" s="119" t="s">
        <v>155</v>
      </c>
      <c r="D520" s="119">
        <v>1.3</v>
      </c>
      <c r="E520" s="119" t="s">
        <v>1073</v>
      </c>
      <c r="F520" s="119" t="s">
        <v>1079</v>
      </c>
    </row>
    <row r="521" ht="22.5" customHeight="1">
      <c r="A521" s="117">
        <v>46002.688305891206</v>
      </c>
      <c r="B521" s="118">
        <v>46000.0</v>
      </c>
      <c r="C521" s="119" t="s">
        <v>464</v>
      </c>
      <c r="D521" s="119">
        <v>7.501</v>
      </c>
      <c r="E521" s="119" t="s">
        <v>1073</v>
      </c>
      <c r="F521" s="119" t="s">
        <v>1079</v>
      </c>
    </row>
    <row r="522" ht="22.5" customHeight="1">
      <c r="A522" s="117">
        <v>46002.690728692134</v>
      </c>
      <c r="B522" s="118">
        <v>46000.0</v>
      </c>
      <c r="C522" s="119" t="s">
        <v>551</v>
      </c>
      <c r="D522" s="119">
        <v>0.605</v>
      </c>
      <c r="E522" s="119" t="s">
        <v>1073</v>
      </c>
      <c r="F522" s="119" t="s">
        <v>1079</v>
      </c>
    </row>
    <row r="523" ht="22.5" customHeight="1">
      <c r="A523" s="117">
        <v>46002.69377142361</v>
      </c>
      <c r="B523" s="118">
        <v>46001.0</v>
      </c>
      <c r="C523" s="119" t="s">
        <v>551</v>
      </c>
      <c r="D523" s="119">
        <v>1.3</v>
      </c>
      <c r="E523" s="119" t="s">
        <v>1073</v>
      </c>
      <c r="F523" s="119" t="s">
        <v>1079</v>
      </c>
    </row>
    <row r="524" ht="22.5" customHeight="1">
      <c r="A524" s="117">
        <v>46002.694154375</v>
      </c>
      <c r="B524" s="118">
        <v>46001.0</v>
      </c>
      <c r="C524" s="119" t="s">
        <v>792</v>
      </c>
      <c r="D524" s="119">
        <v>0.5</v>
      </c>
      <c r="E524" s="119" t="s">
        <v>687</v>
      </c>
      <c r="F524" s="119" t="s">
        <v>1079</v>
      </c>
    </row>
    <row r="525" ht="22.5" customHeight="1">
      <c r="A525" s="117">
        <v>46002.69444116898</v>
      </c>
      <c r="B525" s="118">
        <v>46001.0</v>
      </c>
      <c r="C525" s="119" t="s">
        <v>968</v>
      </c>
      <c r="D525" s="119">
        <v>0.5</v>
      </c>
      <c r="E525" s="119" t="s">
        <v>687</v>
      </c>
      <c r="F525" s="119" t="s">
        <v>1079</v>
      </c>
    </row>
    <row r="526" ht="22.5" customHeight="1">
      <c r="A526" s="117">
        <v>46002.69487472222</v>
      </c>
      <c r="B526" s="118">
        <v>46001.0</v>
      </c>
      <c r="C526" s="119" t="s">
        <v>464</v>
      </c>
      <c r="D526" s="119">
        <v>7.501</v>
      </c>
      <c r="E526" s="119" t="s">
        <v>1073</v>
      </c>
      <c r="F526" s="119" t="s">
        <v>1079</v>
      </c>
    </row>
    <row r="527" ht="22.5" customHeight="1">
      <c r="A527" s="117">
        <v>46002.69525478009</v>
      </c>
      <c r="B527" s="118">
        <v>46001.0</v>
      </c>
      <c r="C527" s="119" t="s">
        <v>155</v>
      </c>
      <c r="D527" s="119">
        <v>1.3</v>
      </c>
      <c r="E527" s="119" t="s">
        <v>1073</v>
      </c>
      <c r="F527" s="119" t="s">
        <v>1079</v>
      </c>
    </row>
    <row r="528" ht="22.5" customHeight="1">
      <c r="A528" s="117">
        <v>46002.69560791667</v>
      </c>
      <c r="B528" s="118">
        <v>46001.0</v>
      </c>
      <c r="C528" s="119" t="s">
        <v>831</v>
      </c>
      <c r="D528" s="119">
        <v>37.5</v>
      </c>
      <c r="E528" s="119" t="s">
        <v>687</v>
      </c>
      <c r="F528" s="119" t="s">
        <v>1079</v>
      </c>
    </row>
    <row r="529" ht="22.5" customHeight="1">
      <c r="A529" s="117">
        <v>46002.6962662963</v>
      </c>
      <c r="B529" s="118">
        <v>46001.0</v>
      </c>
      <c r="C529" s="119" t="s">
        <v>817</v>
      </c>
      <c r="D529" s="119">
        <v>10.0</v>
      </c>
      <c r="E529" s="119" t="s">
        <v>687</v>
      </c>
      <c r="F529" s="119" t="s">
        <v>1079</v>
      </c>
    </row>
    <row r="530" ht="22.5" customHeight="1">
      <c r="A530" s="117">
        <v>46002.69847190972</v>
      </c>
      <c r="B530" s="118">
        <v>46001.0</v>
      </c>
      <c r="C530" s="119" t="s">
        <v>811</v>
      </c>
      <c r="D530" s="119">
        <v>1.35</v>
      </c>
      <c r="E530" s="119" t="s">
        <v>687</v>
      </c>
      <c r="F530" s="119" t="s">
        <v>1079</v>
      </c>
    </row>
    <row r="531" ht="22.5" customHeight="1">
      <c r="A531" s="117">
        <v>46002.69882207176</v>
      </c>
      <c r="B531" s="118">
        <v>46001.0</v>
      </c>
      <c r="C531" s="119" t="s">
        <v>781</v>
      </c>
      <c r="D531" s="119">
        <v>1.35</v>
      </c>
      <c r="E531" s="119" t="s">
        <v>687</v>
      </c>
      <c r="F531" s="119" t="s">
        <v>1079</v>
      </c>
    </row>
    <row r="532" ht="22.5" customHeight="1">
      <c r="A532" s="117">
        <v>46002.69914552083</v>
      </c>
      <c r="B532" s="118">
        <v>46001.0</v>
      </c>
      <c r="C532" s="119" t="s">
        <v>715</v>
      </c>
      <c r="D532" s="119">
        <v>1.35</v>
      </c>
      <c r="E532" s="119" t="s">
        <v>687</v>
      </c>
      <c r="F532" s="119" t="s">
        <v>1079</v>
      </c>
    </row>
    <row r="533" ht="22.5" customHeight="1">
      <c r="A533" s="117">
        <v>46002.69942672453</v>
      </c>
      <c r="B533" s="118">
        <v>46001.0</v>
      </c>
      <c r="C533" s="119" t="s">
        <v>775</v>
      </c>
      <c r="D533" s="119">
        <v>1.35</v>
      </c>
      <c r="E533" s="119" t="s">
        <v>687</v>
      </c>
      <c r="F533" s="119" t="s">
        <v>1079</v>
      </c>
    </row>
    <row r="534" ht="22.5" customHeight="1">
      <c r="A534" s="117">
        <v>46002.69981011574</v>
      </c>
      <c r="B534" s="118">
        <v>46001.0</v>
      </c>
      <c r="C534" s="119" t="s">
        <v>745</v>
      </c>
      <c r="D534" s="119">
        <v>1.35</v>
      </c>
      <c r="E534" s="119" t="s">
        <v>687</v>
      </c>
      <c r="F534" s="119" t="s">
        <v>1079</v>
      </c>
    </row>
    <row r="535" ht="22.5" customHeight="1">
      <c r="A535" s="117">
        <v>46002.70016119213</v>
      </c>
      <c r="B535" s="118">
        <v>46001.0</v>
      </c>
      <c r="C535" s="119" t="s">
        <v>683</v>
      </c>
      <c r="D535" s="119">
        <v>1.35</v>
      </c>
      <c r="E535" s="119" t="s">
        <v>687</v>
      </c>
      <c r="F535" s="119" t="s">
        <v>1079</v>
      </c>
    </row>
    <row r="536" ht="22.5" customHeight="1">
      <c r="A536" s="117">
        <v>46002.70052440972</v>
      </c>
      <c r="B536" s="118">
        <v>46001.0</v>
      </c>
      <c r="C536" s="119" t="s">
        <v>697</v>
      </c>
      <c r="D536" s="119">
        <v>1.35</v>
      </c>
      <c r="E536" s="119" t="s">
        <v>687</v>
      </c>
      <c r="F536" s="119" t="s">
        <v>1079</v>
      </c>
    </row>
    <row r="537" ht="22.5" customHeight="1">
      <c r="A537" s="117">
        <v>46002.701864421295</v>
      </c>
      <c r="B537" s="118">
        <v>46001.0</v>
      </c>
      <c r="C537" s="119" t="s">
        <v>769</v>
      </c>
      <c r="D537" s="119">
        <v>1.35</v>
      </c>
      <c r="E537" s="119" t="s">
        <v>687</v>
      </c>
      <c r="F537" s="119" t="s">
        <v>1079</v>
      </c>
    </row>
    <row r="538" ht="22.5" customHeight="1">
      <c r="A538" s="117">
        <v>46002.7025153125</v>
      </c>
      <c r="B538" s="118">
        <v>46001.0</v>
      </c>
      <c r="C538" s="119" t="s">
        <v>757</v>
      </c>
      <c r="D538" s="119">
        <v>1.35</v>
      </c>
      <c r="E538" s="119" t="s">
        <v>687</v>
      </c>
      <c r="F538" s="119" t="s">
        <v>1079</v>
      </c>
    </row>
    <row r="539" ht="22.5" customHeight="1">
      <c r="A539" s="117">
        <v>46002.70277299768</v>
      </c>
      <c r="B539" s="118">
        <v>46001.0</v>
      </c>
      <c r="C539" s="119" t="s">
        <v>763</v>
      </c>
      <c r="D539" s="119">
        <v>1.35</v>
      </c>
      <c r="E539" s="119" t="s">
        <v>687</v>
      </c>
      <c r="F539" s="119" t="s">
        <v>1079</v>
      </c>
    </row>
    <row r="540" ht="22.5" customHeight="1">
      <c r="A540" s="117">
        <v>46002.70366974537</v>
      </c>
      <c r="B540" s="118">
        <v>46002.0</v>
      </c>
      <c r="C540" s="119" t="s">
        <v>831</v>
      </c>
      <c r="D540" s="119">
        <v>45.0</v>
      </c>
      <c r="E540" s="119" t="s">
        <v>687</v>
      </c>
      <c r="F540" s="119" t="s">
        <v>1079</v>
      </c>
    </row>
    <row r="541" ht="22.5" customHeight="1">
      <c r="A541" s="117">
        <v>46002.70396770834</v>
      </c>
      <c r="B541" s="118">
        <v>46002.0</v>
      </c>
      <c r="C541" s="119" t="s">
        <v>155</v>
      </c>
      <c r="D541" s="119">
        <v>1.3</v>
      </c>
      <c r="E541" s="119" t="s">
        <v>1073</v>
      </c>
      <c r="F541" s="119" t="s">
        <v>1079</v>
      </c>
    </row>
    <row r="542" ht="22.5" customHeight="1">
      <c r="A542" s="117">
        <v>46002.704298807876</v>
      </c>
      <c r="B542" s="118">
        <v>46002.0</v>
      </c>
      <c r="C542" s="119" t="s">
        <v>464</v>
      </c>
      <c r="D542" s="119">
        <v>7.501</v>
      </c>
      <c r="E542" s="119" t="s">
        <v>1073</v>
      </c>
      <c r="F542" s="119" t="s">
        <v>1079</v>
      </c>
    </row>
    <row r="543" ht="22.5" customHeight="1">
      <c r="A543" s="117">
        <v>46002.70486633102</v>
      </c>
      <c r="B543" s="118">
        <v>46002.0</v>
      </c>
      <c r="C543" s="119" t="s">
        <v>551</v>
      </c>
      <c r="D543" s="119">
        <v>1.205</v>
      </c>
      <c r="E543" s="119" t="s">
        <v>1073</v>
      </c>
      <c r="F543" s="119" t="s">
        <v>1079</v>
      </c>
    </row>
    <row r="544" ht="22.5" customHeight="1">
      <c r="A544" s="117">
        <v>46002.70557251158</v>
      </c>
      <c r="B544" s="118">
        <v>46002.0</v>
      </c>
      <c r="C544" s="119" t="s">
        <v>817</v>
      </c>
      <c r="D544" s="119">
        <v>30.0</v>
      </c>
      <c r="E544" s="119" t="s">
        <v>687</v>
      </c>
      <c r="F544" s="119" t="s">
        <v>1095</v>
      </c>
    </row>
    <row r="545" ht="22.5" customHeight="1">
      <c r="A545" s="117">
        <v>46002.70594075232</v>
      </c>
      <c r="B545" s="118">
        <v>46002.0</v>
      </c>
      <c r="C545" s="119" t="s">
        <v>811</v>
      </c>
      <c r="D545" s="119">
        <v>2.0</v>
      </c>
      <c r="E545" s="119" t="s">
        <v>687</v>
      </c>
      <c r="F545" s="119" t="s">
        <v>1095</v>
      </c>
    </row>
    <row r="546" ht="22.5" customHeight="1">
      <c r="A546" s="117">
        <v>46002.70620729167</v>
      </c>
      <c r="B546" s="118">
        <v>46002.0</v>
      </c>
      <c r="C546" s="119" t="s">
        <v>781</v>
      </c>
      <c r="D546" s="119">
        <v>2.0</v>
      </c>
      <c r="E546" s="119" t="s">
        <v>687</v>
      </c>
      <c r="F546" s="119" t="s">
        <v>1095</v>
      </c>
    </row>
    <row r="547" ht="22.5" customHeight="1">
      <c r="A547" s="117">
        <v>46002.70642608796</v>
      </c>
      <c r="B547" s="118">
        <v>46002.0</v>
      </c>
      <c r="C547" s="119" t="s">
        <v>715</v>
      </c>
      <c r="D547" s="119">
        <v>2.0</v>
      </c>
      <c r="E547" s="119" t="s">
        <v>687</v>
      </c>
      <c r="F547" s="119" t="s">
        <v>1095</v>
      </c>
    </row>
    <row r="548" ht="22.5" customHeight="1">
      <c r="A548" s="117">
        <v>46002.70675583334</v>
      </c>
      <c r="B548" s="118">
        <v>46002.0</v>
      </c>
      <c r="C548" s="119" t="s">
        <v>775</v>
      </c>
      <c r="D548" s="119">
        <v>2.0</v>
      </c>
      <c r="E548" s="119" t="s">
        <v>687</v>
      </c>
      <c r="F548" s="119" t="s">
        <v>1095</v>
      </c>
    </row>
    <row r="549" ht="22.5" customHeight="1">
      <c r="A549" s="117">
        <v>46002.70699695602</v>
      </c>
      <c r="B549" s="118">
        <v>46002.0</v>
      </c>
      <c r="C549" s="119" t="s">
        <v>745</v>
      </c>
      <c r="D549" s="119">
        <v>2.0</v>
      </c>
      <c r="E549" s="119" t="s">
        <v>687</v>
      </c>
      <c r="F549" s="119" t="s">
        <v>1095</v>
      </c>
    </row>
    <row r="550" ht="22.5" customHeight="1">
      <c r="A550" s="117">
        <v>46002.70723402778</v>
      </c>
      <c r="B550" s="118">
        <v>46002.0</v>
      </c>
      <c r="C550" s="119" t="s">
        <v>683</v>
      </c>
      <c r="D550" s="119">
        <v>2.0</v>
      </c>
      <c r="E550" s="119" t="s">
        <v>687</v>
      </c>
      <c r="F550" s="119" t="s">
        <v>1095</v>
      </c>
    </row>
    <row r="551" ht="22.5" customHeight="1">
      <c r="A551" s="117">
        <v>46002.707640810186</v>
      </c>
      <c r="B551" s="118">
        <v>46002.0</v>
      </c>
      <c r="C551" s="119" t="s">
        <v>697</v>
      </c>
      <c r="D551" s="119">
        <v>2.0</v>
      </c>
      <c r="E551" s="119" t="s">
        <v>687</v>
      </c>
      <c r="F551" s="119" t="s">
        <v>1095</v>
      </c>
    </row>
    <row r="552" ht="22.5" customHeight="1">
      <c r="A552" s="117">
        <v>46002.70785983796</v>
      </c>
      <c r="B552" s="118">
        <v>46002.0</v>
      </c>
      <c r="C552" s="119" t="s">
        <v>769</v>
      </c>
      <c r="D552" s="119">
        <v>2.0</v>
      </c>
      <c r="E552" s="119" t="s">
        <v>687</v>
      </c>
      <c r="F552" s="119" t="s">
        <v>1095</v>
      </c>
    </row>
    <row r="553" ht="22.5" customHeight="1">
      <c r="A553" s="117">
        <v>46002.708121828706</v>
      </c>
      <c r="B553" s="118">
        <v>46002.0</v>
      </c>
      <c r="C553" s="119" t="s">
        <v>757</v>
      </c>
      <c r="D553" s="119">
        <v>2.0</v>
      </c>
      <c r="E553" s="119" t="s">
        <v>687</v>
      </c>
      <c r="F553" s="119" t="s">
        <v>1095</v>
      </c>
    </row>
    <row r="554" ht="22.5" customHeight="1">
      <c r="A554" s="117">
        <v>46002.70844158565</v>
      </c>
      <c r="B554" s="118">
        <v>46002.0</v>
      </c>
      <c r="C554" s="119" t="s">
        <v>763</v>
      </c>
      <c r="D554" s="119">
        <v>2.0</v>
      </c>
      <c r="E554" s="119" t="s">
        <v>687</v>
      </c>
      <c r="F554" s="119" t="s">
        <v>1095</v>
      </c>
    </row>
    <row r="555" ht="22.5" customHeight="1">
      <c r="A555" s="117">
        <v>46003.42996961805</v>
      </c>
      <c r="B555" s="118">
        <v>46000.0</v>
      </c>
      <c r="C555" s="119" t="s">
        <v>630</v>
      </c>
      <c r="D555" s="119">
        <v>2.6</v>
      </c>
      <c r="E555" s="119" t="s">
        <v>1073</v>
      </c>
      <c r="F555" s="119" t="s">
        <v>1079</v>
      </c>
    </row>
    <row r="556" ht="22.5" customHeight="1">
      <c r="A556" s="117">
        <v>46003.63704071759</v>
      </c>
      <c r="B556" s="118">
        <v>46001.0</v>
      </c>
      <c r="C556" s="119" t="s">
        <v>413</v>
      </c>
      <c r="D556" s="119">
        <v>2.0</v>
      </c>
      <c r="E556" s="119" t="s">
        <v>1073</v>
      </c>
      <c r="F556" s="119" t="s">
        <v>1077</v>
      </c>
    </row>
    <row r="557" ht="22.5" customHeight="1">
      <c r="A557" s="117">
        <v>46003.63802832176</v>
      </c>
      <c r="B557" s="118">
        <v>46001.0</v>
      </c>
      <c r="C557" s="119" t="s">
        <v>155</v>
      </c>
      <c r="D557" s="119">
        <v>1.96</v>
      </c>
      <c r="E557" s="119" t="s">
        <v>1073</v>
      </c>
      <c r="F557" s="119" t="s">
        <v>1077</v>
      </c>
    </row>
    <row r="558" ht="22.5" customHeight="1">
      <c r="A558" s="117">
        <v>46003.63845174768</v>
      </c>
      <c r="B558" s="118">
        <v>46001.0</v>
      </c>
      <c r="C558" s="119" t="s">
        <v>798</v>
      </c>
      <c r="D558" s="119">
        <v>0.5</v>
      </c>
      <c r="E558" s="119" t="s">
        <v>687</v>
      </c>
      <c r="F558" s="119" t="s">
        <v>1090</v>
      </c>
    </row>
    <row r="559" ht="22.5" customHeight="1">
      <c r="A559" s="117">
        <v>46003.63867997685</v>
      </c>
      <c r="B559" s="118">
        <v>46002.0</v>
      </c>
      <c r="C559" s="119" t="s">
        <v>239</v>
      </c>
      <c r="D559" s="119">
        <v>6.0</v>
      </c>
      <c r="E559" s="119" t="s">
        <v>1073</v>
      </c>
      <c r="F559" s="119" t="s">
        <v>1090</v>
      </c>
    </row>
    <row r="560" ht="22.5" customHeight="1">
      <c r="A560" s="117">
        <v>46003.639064999996</v>
      </c>
      <c r="B560" s="118">
        <v>46002.0</v>
      </c>
      <c r="C560" s="119" t="s">
        <v>594</v>
      </c>
      <c r="D560" s="119">
        <v>6.0</v>
      </c>
      <c r="E560" s="119" t="s">
        <v>1073</v>
      </c>
      <c r="F560" s="119" t="s">
        <v>1090</v>
      </c>
    </row>
    <row r="561" ht="22.5" customHeight="1">
      <c r="A561" s="117">
        <v>46003.63943605324</v>
      </c>
      <c r="B561" s="118">
        <v>46002.0</v>
      </c>
      <c r="C561" s="119" t="s">
        <v>239</v>
      </c>
      <c r="D561" s="119">
        <v>5.0</v>
      </c>
      <c r="E561" s="119" t="s">
        <v>1073</v>
      </c>
      <c r="F561" s="119" t="s">
        <v>1077</v>
      </c>
    </row>
    <row r="562" ht="22.5" customHeight="1">
      <c r="A562" s="117">
        <v>46003.63967239583</v>
      </c>
      <c r="B562" s="118">
        <v>46002.0</v>
      </c>
      <c r="C562" s="119" t="s">
        <v>594</v>
      </c>
      <c r="D562" s="119">
        <v>5.0</v>
      </c>
      <c r="E562" s="119" t="s">
        <v>1073</v>
      </c>
      <c r="F562" s="119" t="s">
        <v>1077</v>
      </c>
    </row>
    <row r="563" ht="22.5" customHeight="1">
      <c r="A563" s="117">
        <v>46003.64008398148</v>
      </c>
      <c r="B563" s="118">
        <v>46002.0</v>
      </c>
      <c r="C563" s="119" t="s">
        <v>856</v>
      </c>
      <c r="D563" s="119">
        <v>30.0</v>
      </c>
      <c r="E563" s="119" t="s">
        <v>687</v>
      </c>
      <c r="F563" s="119" t="s">
        <v>1077</v>
      </c>
    </row>
    <row r="564" ht="22.5" customHeight="1">
      <c r="A564" s="117">
        <v>46003.6408319676</v>
      </c>
      <c r="B564" s="118">
        <v>46003.0</v>
      </c>
      <c r="C564" s="119" t="s">
        <v>191</v>
      </c>
      <c r="D564" s="119">
        <v>0.5</v>
      </c>
      <c r="E564" s="119" t="s">
        <v>1073</v>
      </c>
      <c r="F564" s="119" t="s">
        <v>1077</v>
      </c>
    </row>
    <row r="565" ht="22.5" customHeight="1">
      <c r="A565" s="117">
        <v>46003.64161572917</v>
      </c>
      <c r="B565" s="118">
        <v>46003.0</v>
      </c>
      <c r="C565" s="119" t="s">
        <v>274</v>
      </c>
      <c r="D565" s="119">
        <v>2.0</v>
      </c>
      <c r="E565" s="119" t="s">
        <v>1073</v>
      </c>
      <c r="F565" s="119" t="s">
        <v>1077</v>
      </c>
    </row>
    <row r="566" ht="22.5" customHeight="1">
      <c r="A566" s="117">
        <v>46003.64252622685</v>
      </c>
      <c r="B566" s="118">
        <v>46003.0</v>
      </c>
      <c r="C566" s="119" t="s">
        <v>727</v>
      </c>
      <c r="D566" s="119">
        <v>5.0</v>
      </c>
      <c r="E566" s="119" t="s">
        <v>687</v>
      </c>
      <c r="F566" s="119" t="s">
        <v>1090</v>
      </c>
    </row>
    <row r="567" ht="22.5" customHeight="1">
      <c r="A567" s="117">
        <v>46003.64293681713</v>
      </c>
      <c r="B567" s="118">
        <v>46003.0</v>
      </c>
      <c r="C567" s="119" t="s">
        <v>974</v>
      </c>
      <c r="D567" s="119">
        <v>1.0</v>
      </c>
      <c r="E567" s="119" t="s">
        <v>687</v>
      </c>
      <c r="F567" s="119" t="s">
        <v>1090</v>
      </c>
    </row>
    <row r="568" ht="22.5" customHeight="1">
      <c r="A568" s="117">
        <v>46003.643396921296</v>
      </c>
      <c r="B568" s="118">
        <v>46003.0</v>
      </c>
      <c r="C568" s="119" t="s">
        <v>163</v>
      </c>
      <c r="D568" s="119">
        <v>55.0</v>
      </c>
      <c r="E568" s="119" t="s">
        <v>687</v>
      </c>
      <c r="F568" s="119" t="s">
        <v>1090</v>
      </c>
    </row>
    <row r="569" ht="22.5" customHeight="1">
      <c r="A569" s="117">
        <v>46003.64755040509</v>
      </c>
      <c r="B569" s="118">
        <v>46003.0</v>
      </c>
      <c r="C569" s="119" t="s">
        <v>331</v>
      </c>
      <c r="D569" s="119">
        <v>48.0</v>
      </c>
      <c r="E569" s="119" t="s">
        <v>1073</v>
      </c>
      <c r="F569" s="119" t="s">
        <v>1077</v>
      </c>
    </row>
    <row r="570" ht="22.5" customHeight="1">
      <c r="A570" s="117">
        <v>46003.648261979164</v>
      </c>
      <c r="B570" s="118">
        <v>46003.0</v>
      </c>
      <c r="C570" s="119" t="s">
        <v>882</v>
      </c>
      <c r="D570" s="119">
        <v>1.5</v>
      </c>
      <c r="E570" s="119" t="s">
        <v>687</v>
      </c>
      <c r="F570" s="119" t="s">
        <v>1077</v>
      </c>
    </row>
    <row r="571" ht="22.5" customHeight="1">
      <c r="A571" s="117">
        <v>46003.64899804398</v>
      </c>
      <c r="B571" s="118">
        <v>46003.0</v>
      </c>
      <c r="C571" s="119" t="s">
        <v>888</v>
      </c>
      <c r="D571" s="119">
        <v>40.0</v>
      </c>
      <c r="E571" s="119" t="s">
        <v>687</v>
      </c>
      <c r="F571" s="119" t="s">
        <v>1077</v>
      </c>
    </row>
    <row r="572" ht="22.5" customHeight="1">
      <c r="A572" s="117">
        <v>46003.65028662037</v>
      </c>
      <c r="B572" s="118">
        <v>46002.0</v>
      </c>
      <c r="C572" s="119" t="s">
        <v>184</v>
      </c>
      <c r="D572" s="119">
        <v>65.0</v>
      </c>
      <c r="E572" s="119" t="s">
        <v>1073</v>
      </c>
      <c r="F572" s="119" t="s">
        <v>1077</v>
      </c>
    </row>
    <row r="573" ht="22.5" customHeight="1">
      <c r="A573" s="117">
        <v>46003.65053800926</v>
      </c>
      <c r="B573" s="118">
        <v>46002.0</v>
      </c>
      <c r="C573" s="119" t="s">
        <v>324</v>
      </c>
      <c r="D573" s="119">
        <v>8.5</v>
      </c>
      <c r="E573" s="119" t="s">
        <v>1073</v>
      </c>
      <c r="F573" s="119" t="s">
        <v>1077</v>
      </c>
    </row>
    <row r="574" ht="22.5" customHeight="1">
      <c r="A574" s="117">
        <v>46006.68434974537</v>
      </c>
      <c r="B574" s="118">
        <v>46006.0</v>
      </c>
      <c r="C574" s="119" t="s">
        <v>155</v>
      </c>
      <c r="D574" s="119">
        <v>1.6</v>
      </c>
      <c r="E574" s="119" t="s">
        <v>1073</v>
      </c>
      <c r="F574" s="119" t="s">
        <v>1077</v>
      </c>
    </row>
    <row r="575" ht="22.5" customHeight="1">
      <c r="A575" s="117">
        <v>46006.68493682871</v>
      </c>
      <c r="B575" s="118">
        <v>46006.0</v>
      </c>
      <c r="C575" s="119" t="s">
        <v>588</v>
      </c>
      <c r="D575" s="119">
        <v>0.3162</v>
      </c>
      <c r="E575" s="119" t="s">
        <v>1073</v>
      </c>
      <c r="F575" s="119" t="s">
        <v>1077</v>
      </c>
    </row>
    <row r="576" ht="22.5" customHeight="1">
      <c r="A576" s="117">
        <v>46006.68543875</v>
      </c>
      <c r="B576" s="118">
        <v>46006.0</v>
      </c>
      <c r="C576" s="119" t="s">
        <v>73</v>
      </c>
      <c r="D576" s="119">
        <v>0.6302</v>
      </c>
      <c r="E576" s="119" t="s">
        <v>1073</v>
      </c>
      <c r="F576" s="119" t="s">
        <v>1077</v>
      </c>
    </row>
    <row r="577" ht="22.5" customHeight="1">
      <c r="A577" s="117">
        <v>46006.68601857639</v>
      </c>
      <c r="B577" s="118">
        <v>46006.0</v>
      </c>
      <c r="C577" s="119" t="s">
        <v>823</v>
      </c>
      <c r="D577" s="119">
        <v>250.0</v>
      </c>
      <c r="E577" s="119" t="s">
        <v>687</v>
      </c>
      <c r="F577" s="119" t="s">
        <v>1077</v>
      </c>
    </row>
    <row r="578" ht="22.5" customHeight="1">
      <c r="A578" s="117">
        <v>46007.39106050926</v>
      </c>
      <c r="B578" s="118">
        <v>46006.0</v>
      </c>
      <c r="C578" s="119" t="s">
        <v>470</v>
      </c>
      <c r="D578" s="119">
        <v>4.0</v>
      </c>
      <c r="E578" s="119" t="s">
        <v>1073</v>
      </c>
      <c r="F578" s="119" t="s">
        <v>1084</v>
      </c>
    </row>
    <row r="579" ht="22.5" customHeight="1">
      <c r="A579" s="117">
        <v>46007.58029568287</v>
      </c>
      <c r="B579" s="118">
        <v>46006.0</v>
      </c>
      <c r="C579" s="119" t="s">
        <v>875</v>
      </c>
      <c r="D579" s="119">
        <v>10.3</v>
      </c>
      <c r="E579" s="119" t="s">
        <v>687</v>
      </c>
      <c r="F579" s="119" t="s">
        <v>1079</v>
      </c>
    </row>
    <row r="580" ht="22.5" customHeight="1">
      <c r="A580" s="117">
        <v>46007.58062435185</v>
      </c>
      <c r="B580" s="118">
        <v>46007.0</v>
      </c>
      <c r="C580" s="119" t="s">
        <v>831</v>
      </c>
      <c r="D580" s="119">
        <v>50.0</v>
      </c>
      <c r="E580" s="119" t="s">
        <v>687</v>
      </c>
      <c r="F580" s="119" t="s">
        <v>1079</v>
      </c>
    </row>
    <row r="581" ht="22.5" customHeight="1">
      <c r="A581" s="117">
        <v>46007.580943657405</v>
      </c>
      <c r="B581" s="118">
        <v>46007.0</v>
      </c>
      <c r="C581" s="119" t="s">
        <v>155</v>
      </c>
      <c r="D581" s="119">
        <v>1.28</v>
      </c>
      <c r="E581" s="119" t="s">
        <v>1073</v>
      </c>
      <c r="F581" s="119" t="s">
        <v>1079</v>
      </c>
    </row>
    <row r="582" ht="22.5" customHeight="1">
      <c r="A582" s="117">
        <v>46007.581298425925</v>
      </c>
      <c r="B582" s="118">
        <v>46007.0</v>
      </c>
      <c r="C582" s="119" t="s">
        <v>464</v>
      </c>
      <c r="D582" s="119">
        <v>5.1</v>
      </c>
      <c r="E582" s="119" t="s">
        <v>1073</v>
      </c>
      <c r="F582" s="119" t="s">
        <v>1079</v>
      </c>
    </row>
    <row r="583" ht="22.5" customHeight="1">
      <c r="A583" s="117">
        <v>46007.5818021875</v>
      </c>
      <c r="B583" s="118">
        <v>46007.0</v>
      </c>
      <c r="C583" s="119" t="s">
        <v>968</v>
      </c>
      <c r="D583" s="119">
        <v>0.5</v>
      </c>
      <c r="E583" s="119" t="s">
        <v>687</v>
      </c>
      <c r="F583" s="119" t="s">
        <v>1079</v>
      </c>
    </row>
    <row r="584" ht="22.5" customHeight="1">
      <c r="A584" s="117">
        <v>46007.58222119213</v>
      </c>
      <c r="B584" s="118">
        <v>46007.0</v>
      </c>
      <c r="C584" s="119" t="s">
        <v>792</v>
      </c>
      <c r="D584" s="119">
        <v>0.5</v>
      </c>
      <c r="E584" s="119" t="s">
        <v>687</v>
      </c>
      <c r="F584" s="119" t="s">
        <v>1079</v>
      </c>
    </row>
    <row r="585" ht="22.5" customHeight="1">
      <c r="A585" s="117">
        <v>46007.584286446756</v>
      </c>
      <c r="B585" s="118">
        <v>46007.0</v>
      </c>
      <c r="C585" s="119" t="s">
        <v>709</v>
      </c>
      <c r="D585" s="119">
        <v>0.5</v>
      </c>
      <c r="E585" s="119" t="s">
        <v>687</v>
      </c>
      <c r="F585" s="119" t="s">
        <v>1079</v>
      </c>
    </row>
    <row r="586" ht="22.5" customHeight="1">
      <c r="A586" s="117">
        <v>46007.58462349537</v>
      </c>
      <c r="B586" s="118">
        <v>46007.0</v>
      </c>
      <c r="C586" s="119" t="s">
        <v>751</v>
      </c>
      <c r="D586" s="119">
        <v>0.5</v>
      </c>
      <c r="E586" s="119" t="s">
        <v>687</v>
      </c>
      <c r="F586" s="119" t="s">
        <v>1079</v>
      </c>
    </row>
    <row r="587" ht="22.5" customHeight="1">
      <c r="A587" s="117">
        <v>46007.58507168981</v>
      </c>
      <c r="B587" s="118">
        <v>46007.0</v>
      </c>
      <c r="C587" s="119" t="s">
        <v>856</v>
      </c>
      <c r="D587" s="119">
        <v>500.0</v>
      </c>
      <c r="E587" s="119" t="s">
        <v>687</v>
      </c>
      <c r="F587" s="119" t="s">
        <v>1079</v>
      </c>
    </row>
    <row r="588" ht="22.5" customHeight="1">
      <c r="A588" s="117">
        <v>46007.58537388888</v>
      </c>
      <c r="B588" s="118">
        <v>46007.0</v>
      </c>
      <c r="C588" s="119" t="s">
        <v>1018</v>
      </c>
      <c r="D588" s="119">
        <v>1.0</v>
      </c>
      <c r="E588" s="119" t="s">
        <v>687</v>
      </c>
      <c r="F588" s="119" t="s">
        <v>1079</v>
      </c>
    </row>
    <row r="589" ht="22.5" customHeight="1">
      <c r="A589" s="117">
        <v>46007.585907465276</v>
      </c>
      <c r="B589" s="118">
        <v>46007.0</v>
      </c>
      <c r="C589" s="119" t="s">
        <v>1024</v>
      </c>
      <c r="D589" s="119">
        <v>0.5</v>
      </c>
      <c r="E589" s="119" t="s">
        <v>687</v>
      </c>
      <c r="F589" s="119" t="s">
        <v>1079</v>
      </c>
    </row>
    <row r="590" ht="22.5" customHeight="1">
      <c r="A590" s="117">
        <v>46007.63849521991</v>
      </c>
      <c r="B590" s="118">
        <v>46007.0</v>
      </c>
      <c r="C590" s="119" t="s">
        <v>551</v>
      </c>
      <c r="D590" s="119">
        <v>1.3</v>
      </c>
      <c r="E590" s="119" t="s">
        <v>1073</v>
      </c>
      <c r="F590" s="119" t="s">
        <v>1079</v>
      </c>
    </row>
    <row r="591" ht="22.5" customHeight="1">
      <c r="A591" s="117">
        <v>46007.638768414356</v>
      </c>
      <c r="B591" s="118">
        <v>46007.0</v>
      </c>
      <c r="C591" s="119" t="s">
        <v>831</v>
      </c>
      <c r="D591" s="119">
        <v>5.0</v>
      </c>
      <c r="E591" s="119" t="s">
        <v>687</v>
      </c>
      <c r="F591" s="119" t="s">
        <v>1079</v>
      </c>
    </row>
    <row r="592" ht="22.5" customHeight="1">
      <c r="A592" s="117">
        <v>46008.32892277778</v>
      </c>
      <c r="B592" s="118">
        <v>46007.0</v>
      </c>
      <c r="C592" s="119" t="s">
        <v>817</v>
      </c>
      <c r="D592" s="119">
        <v>26.0</v>
      </c>
      <c r="E592" s="119" t="s">
        <v>687</v>
      </c>
      <c r="F592" s="119" t="s">
        <v>1077</v>
      </c>
    </row>
    <row r="593" ht="22.5" customHeight="1">
      <c r="A593" s="117">
        <v>46008.33247175926</v>
      </c>
      <c r="B593" s="118">
        <v>46007.0</v>
      </c>
      <c r="C593" s="119" t="s">
        <v>576</v>
      </c>
      <c r="D593" s="119">
        <v>17.0</v>
      </c>
      <c r="E593" s="119" t="s">
        <v>1073</v>
      </c>
      <c r="F593" s="119" t="s">
        <v>1077</v>
      </c>
    </row>
    <row r="594" ht="22.5" customHeight="1">
      <c r="A594" s="117">
        <v>46008.33289092593</v>
      </c>
      <c r="B594" s="118">
        <v>46007.0</v>
      </c>
      <c r="C594" s="119" t="s">
        <v>38</v>
      </c>
      <c r="D594" s="119">
        <v>17.0</v>
      </c>
      <c r="E594" s="119" t="s">
        <v>1073</v>
      </c>
      <c r="F594" s="119" t="s">
        <v>1077</v>
      </c>
    </row>
    <row r="595" ht="22.5" customHeight="1">
      <c r="A595" s="117">
        <v>46008.33402520833</v>
      </c>
      <c r="B595" s="118">
        <v>46007.0</v>
      </c>
      <c r="C595" s="119" t="s">
        <v>155</v>
      </c>
      <c r="D595" s="119">
        <v>10.0</v>
      </c>
      <c r="E595" s="119" t="s">
        <v>1073</v>
      </c>
      <c r="F595" s="119" t="s">
        <v>1077</v>
      </c>
    </row>
    <row r="596" ht="22.5" customHeight="1">
      <c r="A596" s="117">
        <v>46008.47448387732</v>
      </c>
      <c r="B596" s="118">
        <v>46008.0</v>
      </c>
      <c r="C596" s="119" t="s">
        <v>892</v>
      </c>
      <c r="D596" s="119">
        <v>16.0</v>
      </c>
      <c r="E596" s="119" t="s">
        <v>687</v>
      </c>
      <c r="F596" s="119" t="s">
        <v>1077</v>
      </c>
    </row>
    <row r="597" ht="22.5" customHeight="1">
      <c r="A597" s="117">
        <v>46008.474986817135</v>
      </c>
      <c r="B597" s="118">
        <v>46008.0</v>
      </c>
      <c r="C597" s="119" t="s">
        <v>191</v>
      </c>
      <c r="D597" s="119">
        <v>0.5</v>
      </c>
      <c r="E597" s="119" t="s">
        <v>1073</v>
      </c>
      <c r="F597" s="119" t="s">
        <v>1077</v>
      </c>
    </row>
    <row r="598" ht="22.5" customHeight="1">
      <c r="A598" s="117">
        <v>46008.47545741899</v>
      </c>
      <c r="B598" s="118">
        <v>46008.0</v>
      </c>
      <c r="C598" s="119" t="s">
        <v>850</v>
      </c>
      <c r="D598" s="119">
        <v>75.0</v>
      </c>
      <c r="E598" s="119" t="s">
        <v>687</v>
      </c>
      <c r="F598" s="119" t="s">
        <v>1077</v>
      </c>
    </row>
    <row r="599" ht="22.5" customHeight="1">
      <c r="A599" s="117">
        <v>46008.704775844904</v>
      </c>
      <c r="B599" s="118">
        <v>46008.0</v>
      </c>
      <c r="C599" s="119" t="s">
        <v>155</v>
      </c>
      <c r="D599" s="119">
        <v>1.0</v>
      </c>
      <c r="E599" s="119" t="s">
        <v>1073</v>
      </c>
      <c r="F599" s="119" t="s">
        <v>1079</v>
      </c>
    </row>
    <row r="600" ht="22.5" customHeight="1">
      <c r="A600" s="117">
        <v>46008.70515716435</v>
      </c>
      <c r="B600" s="118">
        <v>46008.0</v>
      </c>
      <c r="C600" s="119" t="s">
        <v>464</v>
      </c>
      <c r="D600" s="119">
        <v>4.0</v>
      </c>
      <c r="E600" s="119" t="s">
        <v>1073</v>
      </c>
      <c r="F600" s="119" t="s">
        <v>1079</v>
      </c>
    </row>
    <row r="601" ht="22.5" customHeight="1">
      <c r="A601" s="117">
        <v>46008.70601246528</v>
      </c>
      <c r="B601" s="118">
        <v>46008.0</v>
      </c>
      <c r="C601" s="119" t="s">
        <v>433</v>
      </c>
      <c r="D601" s="119">
        <v>4.16</v>
      </c>
      <c r="E601" s="119" t="s">
        <v>1073</v>
      </c>
      <c r="F601" s="119" t="s">
        <v>1079</v>
      </c>
    </row>
    <row r="602" ht="22.5" customHeight="1">
      <c r="A602" s="117">
        <v>46009.458885810185</v>
      </c>
      <c r="B602" s="118">
        <v>46009.0</v>
      </c>
      <c r="C602" s="119" t="s">
        <v>623</v>
      </c>
      <c r="D602" s="119">
        <v>0.1003</v>
      </c>
      <c r="E602" s="119" t="s">
        <v>1073</v>
      </c>
      <c r="F602" s="119" t="s">
        <v>1079</v>
      </c>
    </row>
    <row r="603" ht="22.5" customHeight="1">
      <c r="A603" s="117">
        <v>46009.45940013889</v>
      </c>
      <c r="B603" s="118">
        <v>46009.0</v>
      </c>
      <c r="C603" s="119" t="s">
        <v>420</v>
      </c>
      <c r="D603" s="119">
        <v>1.5015</v>
      </c>
      <c r="E603" s="119" t="s">
        <v>1073</v>
      </c>
      <c r="F603" s="119" t="s">
        <v>1079</v>
      </c>
    </row>
    <row r="604" ht="22.5" customHeight="1">
      <c r="A604" s="117">
        <v>46009.45977990741</v>
      </c>
      <c r="B604" s="118">
        <v>46009.0</v>
      </c>
      <c r="C604" s="119" t="s">
        <v>951</v>
      </c>
      <c r="D604" s="119">
        <v>1.0</v>
      </c>
      <c r="E604" s="119" t="s">
        <v>687</v>
      </c>
      <c r="F604" s="119" t="s">
        <v>1079</v>
      </c>
    </row>
    <row r="605" ht="22.5" customHeight="1">
      <c r="A605" s="117">
        <v>46009.46059084491</v>
      </c>
      <c r="B605" s="118">
        <v>46009.0</v>
      </c>
      <c r="C605" s="119" t="s">
        <v>823</v>
      </c>
      <c r="D605" s="119">
        <v>42.0</v>
      </c>
      <c r="E605" s="119" t="s">
        <v>687</v>
      </c>
      <c r="F605" s="119" t="s">
        <v>1079</v>
      </c>
    </row>
    <row r="606" ht="22.5" customHeight="1">
      <c r="A606" s="117">
        <v>46009.591396689815</v>
      </c>
      <c r="B606" s="118">
        <v>46008.0</v>
      </c>
      <c r="C606" s="119" t="s">
        <v>267</v>
      </c>
      <c r="D606" s="119">
        <v>0.3</v>
      </c>
      <c r="E606" s="119" t="s">
        <v>1073</v>
      </c>
      <c r="F606" s="119" t="s">
        <v>1087</v>
      </c>
    </row>
    <row r="607" ht="22.5" customHeight="1">
      <c r="A607" s="117">
        <v>46009.591733194444</v>
      </c>
      <c r="B607" s="118">
        <v>46008.0</v>
      </c>
      <c r="C607" s="119" t="s">
        <v>155</v>
      </c>
      <c r="D607" s="119">
        <v>9.1</v>
      </c>
      <c r="E607" s="119" t="s">
        <v>1073</v>
      </c>
      <c r="F607" s="119" t="s">
        <v>1087</v>
      </c>
    </row>
    <row r="608" ht="22.5" customHeight="1">
      <c r="A608" s="117">
        <v>46009.59442384259</v>
      </c>
      <c r="B608" s="118">
        <v>46008.0</v>
      </c>
      <c r="C608" s="119" t="s">
        <v>513</v>
      </c>
      <c r="D608" s="119">
        <v>4.55</v>
      </c>
      <c r="E608" s="119" t="s">
        <v>1073</v>
      </c>
      <c r="F608" s="119" t="s">
        <v>1087</v>
      </c>
    </row>
    <row r="609" ht="22.5" customHeight="1">
      <c r="A609" s="117">
        <v>46009.594779039355</v>
      </c>
      <c r="B609" s="118">
        <v>46008.0</v>
      </c>
      <c r="C609" s="119" t="s">
        <v>135</v>
      </c>
      <c r="D609" s="119">
        <v>0.204</v>
      </c>
      <c r="E609" s="119" t="s">
        <v>1073</v>
      </c>
      <c r="F609" s="119" t="s">
        <v>1087</v>
      </c>
    </row>
    <row r="610" ht="22.5" customHeight="1">
      <c r="A610" s="117">
        <v>46009.595623217596</v>
      </c>
      <c r="B610" s="118">
        <v>46008.0</v>
      </c>
      <c r="C610" s="119" t="s">
        <v>951</v>
      </c>
      <c r="D610" s="119">
        <v>0.53</v>
      </c>
      <c r="E610" s="119" t="s">
        <v>687</v>
      </c>
      <c r="F610" s="119" t="s">
        <v>1087</v>
      </c>
    </row>
    <row r="611" ht="22.5" customHeight="1">
      <c r="A611" s="117">
        <v>46009.59595048611</v>
      </c>
      <c r="B611" s="118">
        <v>46008.0</v>
      </c>
      <c r="C611" s="119" t="s">
        <v>831</v>
      </c>
      <c r="D611" s="119">
        <v>8.3</v>
      </c>
      <c r="E611" s="119" t="s">
        <v>687</v>
      </c>
      <c r="F611" s="119" t="s">
        <v>1087</v>
      </c>
    </row>
    <row r="612" ht="22.5" customHeight="1">
      <c r="A612" s="117">
        <v>46009.59635797454</v>
      </c>
      <c r="B612" s="118">
        <v>46008.0</v>
      </c>
      <c r="C612" s="119" t="s">
        <v>519</v>
      </c>
      <c r="D612" s="119">
        <v>2.722</v>
      </c>
      <c r="E612" s="119" t="s">
        <v>1073</v>
      </c>
      <c r="F612" s="119" t="s">
        <v>1087</v>
      </c>
    </row>
    <row r="613" ht="22.5" customHeight="1">
      <c r="A613" s="117">
        <v>46009.59671521991</v>
      </c>
      <c r="B613" s="118">
        <v>46008.0</v>
      </c>
      <c r="C613" s="119" t="s">
        <v>862</v>
      </c>
      <c r="D613" s="119">
        <v>1.4</v>
      </c>
      <c r="E613" s="119" t="s">
        <v>687</v>
      </c>
      <c r="F613" s="119" t="s">
        <v>1087</v>
      </c>
    </row>
    <row r="614" ht="22.5" customHeight="1">
      <c r="A614" s="117">
        <v>46009.597002650466</v>
      </c>
      <c r="B614" s="118">
        <v>46008.0</v>
      </c>
      <c r="C614" s="119" t="s">
        <v>875</v>
      </c>
      <c r="D614" s="119">
        <v>2.0</v>
      </c>
      <c r="E614" s="119" t="s">
        <v>687</v>
      </c>
      <c r="F614" s="119" t="s">
        <v>1087</v>
      </c>
    </row>
    <row r="615" ht="22.5" customHeight="1">
      <c r="A615" s="117">
        <v>46009.59737469908</v>
      </c>
      <c r="B615" s="118">
        <v>46008.0</v>
      </c>
      <c r="C615" s="119" t="s">
        <v>362</v>
      </c>
      <c r="D615" s="119">
        <v>0.15</v>
      </c>
      <c r="E615" s="119" t="s">
        <v>1073</v>
      </c>
      <c r="F615" s="119" t="s">
        <v>1087</v>
      </c>
    </row>
    <row r="616" ht="22.5" customHeight="1">
      <c r="A616" s="117">
        <v>46009.661962638886</v>
      </c>
      <c r="B616" s="118">
        <v>46009.0</v>
      </c>
      <c r="C616" s="119" t="s">
        <v>177</v>
      </c>
      <c r="D616" s="119">
        <v>1.8</v>
      </c>
      <c r="E616" s="119" t="s">
        <v>1073</v>
      </c>
      <c r="F616" s="119" t="s">
        <v>1077</v>
      </c>
    </row>
    <row r="617" ht="22.5" customHeight="1">
      <c r="A617" s="117">
        <v>46009.664230532406</v>
      </c>
      <c r="B617" s="118">
        <v>46009.0</v>
      </c>
      <c r="C617" s="119" t="s">
        <v>331</v>
      </c>
      <c r="D617" s="119">
        <v>15.0</v>
      </c>
      <c r="E617" s="119" t="s">
        <v>1073</v>
      </c>
      <c r="F617" s="119" t="s">
        <v>1077</v>
      </c>
    </row>
    <row r="618" ht="22.5" customHeight="1">
      <c r="A618" s="117">
        <v>46010.38305878472</v>
      </c>
      <c r="B618" s="118">
        <v>46010.0</v>
      </c>
      <c r="C618" s="119" t="s">
        <v>362</v>
      </c>
      <c r="D618" s="119">
        <v>0.02</v>
      </c>
      <c r="E618" s="119" t="s">
        <v>1073</v>
      </c>
      <c r="F618" s="119" t="s">
        <v>1079</v>
      </c>
    </row>
    <row r="619" ht="22.5" customHeight="1">
      <c r="A619" s="117">
        <v>46010.43913053241</v>
      </c>
      <c r="B619" s="118">
        <v>46010.0</v>
      </c>
      <c r="C619" s="119" t="s">
        <v>267</v>
      </c>
      <c r="D619" s="119">
        <v>0.30022</v>
      </c>
      <c r="E619" s="119" t="s">
        <v>1073</v>
      </c>
      <c r="F619" s="119" t="s">
        <v>1079</v>
      </c>
    </row>
    <row r="620" ht="22.5" customHeight="1">
      <c r="A620" s="117">
        <v>46010.44331630787</v>
      </c>
      <c r="B620" s="118">
        <v>46010.0</v>
      </c>
      <c r="C620" s="119" t="s">
        <v>551</v>
      </c>
      <c r="D620" s="119">
        <v>1.0005</v>
      </c>
      <c r="E620" s="119" t="s">
        <v>1073</v>
      </c>
      <c r="F620" s="119" t="s">
        <v>1079</v>
      </c>
    </row>
    <row r="621" ht="22.5" customHeight="1">
      <c r="A621" s="117">
        <v>46010.47515211806</v>
      </c>
      <c r="B621" s="118">
        <v>46010.0</v>
      </c>
      <c r="C621" s="119" t="s">
        <v>211</v>
      </c>
      <c r="D621" s="119">
        <v>0.0713</v>
      </c>
      <c r="E621" s="119" t="s">
        <v>1073</v>
      </c>
      <c r="F621" s="119" t="s">
        <v>1079</v>
      </c>
    </row>
    <row r="622" ht="22.5" customHeight="1">
      <c r="A622" s="117">
        <v>46013.420432025465</v>
      </c>
      <c r="B622" s="118">
        <v>46010.0</v>
      </c>
      <c r="C622" s="119" t="s">
        <v>177</v>
      </c>
      <c r="D622" s="119">
        <v>1.8</v>
      </c>
      <c r="E622" s="119" t="s">
        <v>1073</v>
      </c>
      <c r="F622" s="119" t="s">
        <v>1077</v>
      </c>
    </row>
    <row r="623" ht="22.5" customHeight="1">
      <c r="A623" s="117">
        <v>46013.420786840274</v>
      </c>
      <c r="B623" s="118">
        <v>46010.0</v>
      </c>
      <c r="C623" s="119" t="s">
        <v>155</v>
      </c>
      <c r="D623" s="119">
        <v>2.5</v>
      </c>
      <c r="E623" s="119" t="s">
        <v>1073</v>
      </c>
      <c r="F623" s="119" t="s">
        <v>1077</v>
      </c>
    </row>
    <row r="624" ht="22.5" customHeight="1">
      <c r="A624" s="117">
        <v>46013.421585833334</v>
      </c>
      <c r="B624" s="118">
        <v>46010.0</v>
      </c>
      <c r="C624" s="119" t="s">
        <v>464</v>
      </c>
      <c r="D624" s="119">
        <v>10.0</v>
      </c>
      <c r="E624" s="119" t="s">
        <v>1073</v>
      </c>
      <c r="F624" s="119" t="s">
        <v>1077</v>
      </c>
    </row>
    <row r="625" ht="22.5" customHeight="1">
      <c r="A625" s="117">
        <v>46013.42221427083</v>
      </c>
      <c r="B625" s="118">
        <v>46010.0</v>
      </c>
      <c r="C625" s="119" t="s">
        <v>551</v>
      </c>
      <c r="D625" s="119">
        <v>2.7</v>
      </c>
      <c r="E625" s="119" t="s">
        <v>1073</v>
      </c>
      <c r="F625" s="119" t="s">
        <v>1077</v>
      </c>
    </row>
    <row r="626" ht="22.5" customHeight="1">
      <c r="A626" s="117">
        <v>46013.422792384255</v>
      </c>
      <c r="B626" s="118">
        <v>46010.0</v>
      </c>
      <c r="C626" s="119" t="s">
        <v>831</v>
      </c>
      <c r="D626" s="119">
        <v>33.0</v>
      </c>
      <c r="E626" s="119" t="s">
        <v>687</v>
      </c>
      <c r="F626" s="119" t="s">
        <v>1077</v>
      </c>
    </row>
    <row r="627" ht="22.5" customHeight="1">
      <c r="A627" s="117">
        <v>46013.423251875</v>
      </c>
      <c r="B627" s="118">
        <v>46013.0</v>
      </c>
      <c r="C627" s="119" t="s">
        <v>501</v>
      </c>
      <c r="D627" s="119">
        <v>0.25</v>
      </c>
      <c r="E627" s="119" t="s">
        <v>1073</v>
      </c>
      <c r="F627" s="119" t="s">
        <v>1077</v>
      </c>
    </row>
    <row r="628" ht="22.5" customHeight="1">
      <c r="A628" s="117">
        <v>46013.42365069444</v>
      </c>
      <c r="B628" s="118">
        <v>46013.0</v>
      </c>
      <c r="C628" s="119" t="s">
        <v>837</v>
      </c>
      <c r="D628" s="119">
        <v>50.0</v>
      </c>
      <c r="E628" s="119" t="s">
        <v>687</v>
      </c>
      <c r="F628" s="119" t="s">
        <v>1077</v>
      </c>
    </row>
    <row r="629" ht="22.5" customHeight="1">
      <c r="A629" s="117">
        <v>46013.42798528935</v>
      </c>
      <c r="B629" s="118">
        <v>46013.0</v>
      </c>
      <c r="C629" s="119" t="s">
        <v>108</v>
      </c>
      <c r="D629" s="119">
        <v>5.0</v>
      </c>
      <c r="E629" s="119" t="s">
        <v>1073</v>
      </c>
      <c r="F629" s="119" t="s">
        <v>1076</v>
      </c>
    </row>
    <row r="630" ht="22.5" customHeight="1">
      <c r="A630" s="117">
        <v>46013.42860465278</v>
      </c>
      <c r="B630" s="118">
        <v>46013.0</v>
      </c>
      <c r="C630" s="119" t="s">
        <v>831</v>
      </c>
      <c r="D630" s="119">
        <v>50.0</v>
      </c>
      <c r="E630" s="119" t="s">
        <v>687</v>
      </c>
      <c r="F630" s="119" t="s">
        <v>1079</v>
      </c>
    </row>
    <row r="631" ht="22.5" customHeight="1">
      <c r="A631" s="117">
        <v>46013.551579120365</v>
      </c>
      <c r="B631" s="118">
        <v>46013.0</v>
      </c>
      <c r="C631" s="119" t="s">
        <v>551</v>
      </c>
      <c r="D631" s="119">
        <v>1.4</v>
      </c>
      <c r="E631" s="119" t="s">
        <v>1073</v>
      </c>
      <c r="F631" s="119" t="s">
        <v>1076</v>
      </c>
    </row>
    <row r="632" ht="22.5" customHeight="1">
      <c r="A632" s="117">
        <v>46013.558532118055</v>
      </c>
      <c r="B632" s="118">
        <v>46013.0</v>
      </c>
      <c r="C632" s="119" t="s">
        <v>501</v>
      </c>
      <c r="D632" s="119">
        <v>0.252</v>
      </c>
      <c r="E632" s="119" t="s">
        <v>1073</v>
      </c>
      <c r="F632" s="119" t="s">
        <v>1079</v>
      </c>
    </row>
    <row r="633" ht="22.5" customHeight="1">
      <c r="A633" s="117">
        <v>46013.66339518518</v>
      </c>
      <c r="B633" s="118">
        <v>46013.0</v>
      </c>
      <c r="C633" s="119" t="s">
        <v>831</v>
      </c>
      <c r="D633" s="119">
        <v>49.0</v>
      </c>
      <c r="E633" s="119" t="s">
        <v>687</v>
      </c>
      <c r="F633" s="119" t="s">
        <v>1076</v>
      </c>
    </row>
    <row r="634" ht="22.5" customHeight="1">
      <c r="A634" s="117">
        <v>46013.7004627662</v>
      </c>
      <c r="B634" s="118">
        <v>46010.0</v>
      </c>
      <c r="C634" s="119" t="s">
        <v>155</v>
      </c>
      <c r="D634" s="119">
        <v>0.25</v>
      </c>
      <c r="E634" s="119" t="s">
        <v>1073</v>
      </c>
      <c r="F634" s="119" t="s">
        <v>1077</v>
      </c>
    </row>
    <row r="635" ht="22.5" customHeight="1">
      <c r="A635" s="117">
        <v>46013.70085100694</v>
      </c>
      <c r="B635" s="118">
        <v>46010.0</v>
      </c>
      <c r="C635" s="119" t="s">
        <v>464</v>
      </c>
      <c r="D635" s="119">
        <v>10.0</v>
      </c>
      <c r="E635" s="119" t="s">
        <v>1073</v>
      </c>
      <c r="F635" s="119" t="s">
        <v>1077</v>
      </c>
    </row>
    <row r="636" ht="22.5" customHeight="1">
      <c r="A636" s="117">
        <v>46013.7073840625</v>
      </c>
      <c r="B636" s="118">
        <v>46013.0</v>
      </c>
      <c r="C636" s="119" t="s">
        <v>155</v>
      </c>
      <c r="D636" s="119">
        <v>6.0</v>
      </c>
      <c r="E636" s="119" t="s">
        <v>1073</v>
      </c>
      <c r="F636" s="119" t="s">
        <v>1079</v>
      </c>
    </row>
    <row r="637" ht="22.5" customHeight="1">
      <c r="A637" s="117">
        <v>46014.47242515047</v>
      </c>
      <c r="B637" s="118">
        <v>46014.0</v>
      </c>
      <c r="C637" s="119" t="s">
        <v>850</v>
      </c>
      <c r="D637" s="119">
        <v>50.0</v>
      </c>
      <c r="E637" s="119" t="s">
        <v>687</v>
      </c>
      <c r="F637" s="119" t="s">
        <v>1079</v>
      </c>
    </row>
    <row r="638" ht="22.5" customHeight="1">
      <c r="A638" s="117">
        <v>46014.47298</v>
      </c>
      <c r="B638" s="118">
        <v>46014.0</v>
      </c>
      <c r="C638" s="119" t="s">
        <v>191</v>
      </c>
      <c r="D638" s="119">
        <v>0.5012</v>
      </c>
      <c r="E638" s="119" t="s">
        <v>1073</v>
      </c>
      <c r="F638" s="119" t="s">
        <v>1079</v>
      </c>
    </row>
    <row r="639" ht="22.5" customHeight="1">
      <c r="A639" s="117">
        <v>46014.4747715625</v>
      </c>
      <c r="B639" s="118">
        <v>46014.0</v>
      </c>
      <c r="C639" s="119" t="s">
        <v>274</v>
      </c>
      <c r="D639" s="119">
        <v>2.0011</v>
      </c>
      <c r="E639" s="119" t="s">
        <v>1073</v>
      </c>
      <c r="F639" s="119" t="s">
        <v>1079</v>
      </c>
    </row>
    <row r="640" ht="22.5" customHeight="1">
      <c r="A640" s="117">
        <v>46014.49174603009</v>
      </c>
      <c r="B640" s="118">
        <v>46014.0</v>
      </c>
      <c r="C640" s="119" t="s">
        <v>470</v>
      </c>
      <c r="D640" s="119">
        <v>8.052</v>
      </c>
      <c r="E640" s="119" t="s">
        <v>1073</v>
      </c>
      <c r="F640" s="119" t="s">
        <v>1084</v>
      </c>
    </row>
    <row r="641" ht="22.5" customHeight="1">
      <c r="A641" s="117">
        <v>46014.59651434028</v>
      </c>
      <c r="B641" s="118">
        <v>46014.0</v>
      </c>
      <c r="C641" s="119" t="s">
        <v>850</v>
      </c>
      <c r="D641" s="119">
        <v>75.0</v>
      </c>
      <c r="E641" s="119" t="s">
        <v>687</v>
      </c>
      <c r="F641" s="119" t="s">
        <v>1079</v>
      </c>
    </row>
    <row r="642" ht="22.5" customHeight="1">
      <c r="A642" s="117">
        <v>46014.6210975</v>
      </c>
      <c r="B642" s="118">
        <v>46014.0</v>
      </c>
      <c r="C642" s="119" t="s">
        <v>170</v>
      </c>
      <c r="D642" s="119">
        <v>50.0</v>
      </c>
      <c r="E642" s="119" t="s">
        <v>1073</v>
      </c>
      <c r="F642" s="119" t="s">
        <v>1076</v>
      </c>
    </row>
    <row r="643" ht="22.5" customHeight="1">
      <c r="A643" s="117">
        <v>46014.621634062496</v>
      </c>
      <c r="B643" s="118">
        <v>46014.0</v>
      </c>
      <c r="C643" s="119" t="s">
        <v>856</v>
      </c>
      <c r="D643" s="119">
        <v>60.0</v>
      </c>
      <c r="E643" s="119" t="s">
        <v>687</v>
      </c>
      <c r="F643" s="119" t="s">
        <v>1076</v>
      </c>
    </row>
    <row r="644" ht="22.5" customHeight="1">
      <c r="A644" s="117">
        <v>46014.62210771991</v>
      </c>
      <c r="B644" s="118">
        <v>46014.0</v>
      </c>
      <c r="C644" s="119" t="s">
        <v>211</v>
      </c>
      <c r="D644" s="119">
        <v>0.14</v>
      </c>
      <c r="E644" s="119" t="s">
        <v>1073</v>
      </c>
      <c r="F644" s="119" t="s">
        <v>1076</v>
      </c>
    </row>
    <row r="645" ht="22.5" customHeight="1">
      <c r="A645" s="117">
        <v>46014.622539386575</v>
      </c>
      <c r="B645" s="118">
        <v>46014.0</v>
      </c>
      <c r="C645" s="119" t="s">
        <v>882</v>
      </c>
      <c r="D645" s="119">
        <v>74.0</v>
      </c>
      <c r="E645" s="119" t="s">
        <v>687</v>
      </c>
      <c r="F645" s="119" t="s">
        <v>1076</v>
      </c>
    </row>
    <row r="646" ht="22.5" customHeight="1">
      <c r="A646" s="117">
        <v>46014.623864016205</v>
      </c>
      <c r="B646" s="118">
        <v>46014.0</v>
      </c>
      <c r="C646" s="119" t="s">
        <v>155</v>
      </c>
      <c r="D646" s="119">
        <v>2.5</v>
      </c>
      <c r="E646" s="119" t="s">
        <v>1073</v>
      </c>
      <c r="F646" s="119" t="s">
        <v>1093</v>
      </c>
    </row>
    <row r="647" ht="22.5" customHeight="1">
      <c r="A647" s="117">
        <v>46014.62431118055</v>
      </c>
      <c r="B647" s="118">
        <v>46014.0</v>
      </c>
      <c r="C647" s="119" t="s">
        <v>831</v>
      </c>
      <c r="D647" s="119">
        <v>20.0</v>
      </c>
      <c r="E647" s="119" t="s">
        <v>687</v>
      </c>
      <c r="F647" s="119" t="s">
        <v>1093</v>
      </c>
    </row>
    <row r="648" ht="22.5" customHeight="1">
      <c r="A648" s="117">
        <v>46014.624685208335</v>
      </c>
      <c r="B648" s="118">
        <v>46014.0</v>
      </c>
      <c r="C648" s="119" t="s">
        <v>458</v>
      </c>
      <c r="D648" s="119">
        <v>10.0</v>
      </c>
      <c r="E648" s="119" t="s">
        <v>1073</v>
      </c>
      <c r="F648" s="119" t="s">
        <v>1093</v>
      </c>
    </row>
    <row r="649" ht="22.5" customHeight="1">
      <c r="A649" s="117">
        <v>46014.62518325231</v>
      </c>
      <c r="B649" s="118">
        <v>46014.0</v>
      </c>
      <c r="C649" s="119" t="s">
        <v>464</v>
      </c>
      <c r="D649" s="119">
        <v>2.5</v>
      </c>
      <c r="E649" s="119" t="s">
        <v>1073</v>
      </c>
      <c r="F649" s="119" t="s">
        <v>1093</v>
      </c>
    </row>
    <row r="650" ht="22.5" customHeight="1">
      <c r="A650" s="117">
        <v>46015.41734792824</v>
      </c>
      <c r="B650" s="118">
        <v>46015.0</v>
      </c>
      <c r="C650" s="119" t="s">
        <v>191</v>
      </c>
      <c r="D650" s="119">
        <v>0.5052</v>
      </c>
      <c r="E650" s="119" t="s">
        <v>1073</v>
      </c>
      <c r="F650" s="119" t="s">
        <v>1079</v>
      </c>
    </row>
    <row r="651" ht="22.5" customHeight="1">
      <c r="A651" s="117">
        <v>46015.42413642361</v>
      </c>
      <c r="B651" s="118">
        <v>46015.0</v>
      </c>
      <c r="C651" s="119" t="s">
        <v>274</v>
      </c>
      <c r="D651" s="119">
        <v>2.0012</v>
      </c>
      <c r="E651" s="119" t="s">
        <v>1073</v>
      </c>
      <c r="F651" s="119" t="s">
        <v>1079</v>
      </c>
    </row>
    <row r="652" ht="22.5" customHeight="1">
      <c r="A652" s="117">
        <v>46015.424749722224</v>
      </c>
      <c r="B652" s="118">
        <v>46015.0</v>
      </c>
      <c r="C652" s="119" t="s">
        <v>331</v>
      </c>
      <c r="D652" s="119">
        <v>4.23</v>
      </c>
      <c r="E652" s="119" t="s">
        <v>1073</v>
      </c>
      <c r="F652" s="119" t="s">
        <v>1079</v>
      </c>
    </row>
    <row r="653" ht="22.5" customHeight="1">
      <c r="A653" s="117">
        <v>46015.42522640046</v>
      </c>
      <c r="B653" s="118">
        <v>46015.0</v>
      </c>
      <c r="C653" s="119" t="s">
        <v>850</v>
      </c>
      <c r="D653" s="119">
        <v>75.0</v>
      </c>
      <c r="E653" s="119" t="s">
        <v>687</v>
      </c>
      <c r="F653" s="119" t="s">
        <v>1079</v>
      </c>
    </row>
    <row r="654" ht="22.5" customHeight="1">
      <c r="A654" s="117">
        <v>46015.42643769676</v>
      </c>
      <c r="B654" s="118">
        <v>46015.0</v>
      </c>
      <c r="C654" s="119" t="s">
        <v>438</v>
      </c>
      <c r="D654" s="119">
        <v>1.27</v>
      </c>
      <c r="E654" s="119" t="s">
        <v>1073</v>
      </c>
      <c r="F654" s="119" t="s">
        <v>1076</v>
      </c>
    </row>
    <row r="655" ht="22.5" customHeight="1">
      <c r="A655" s="117">
        <v>46015.426690092594</v>
      </c>
      <c r="B655" s="118">
        <v>46015.0</v>
      </c>
      <c r="C655" s="119" t="s">
        <v>66</v>
      </c>
      <c r="D655" s="119">
        <v>4.0</v>
      </c>
      <c r="E655" s="119" t="s">
        <v>1073</v>
      </c>
      <c r="F655" s="119" t="s">
        <v>1076</v>
      </c>
    </row>
    <row r="656" ht="22.5" customHeight="1">
      <c r="A656" s="117">
        <v>46015.4271849537</v>
      </c>
      <c r="B656" s="118">
        <v>46015.0</v>
      </c>
      <c r="C656" s="119" t="s">
        <v>45</v>
      </c>
      <c r="D656" s="119">
        <v>0.1</v>
      </c>
      <c r="E656" s="119" t="s">
        <v>1073</v>
      </c>
      <c r="F656" s="119" t="s">
        <v>1076</v>
      </c>
    </row>
    <row r="657" ht="22.5" customHeight="1">
      <c r="A657" s="117">
        <v>46015.47723981482</v>
      </c>
      <c r="B657" s="118">
        <v>46015.0</v>
      </c>
      <c r="C657" s="119" t="s">
        <v>344</v>
      </c>
      <c r="D657" s="119">
        <v>4.9643</v>
      </c>
      <c r="E657" s="119" t="s">
        <v>1073</v>
      </c>
      <c r="F657" s="119" t="s">
        <v>1076</v>
      </c>
    </row>
    <row r="658" ht="22.5" customHeight="1">
      <c r="A658" s="117">
        <v>46015.47762311343</v>
      </c>
      <c r="B658" s="118">
        <v>46015.0</v>
      </c>
      <c r="C658" s="119" t="s">
        <v>375</v>
      </c>
      <c r="D658" s="119">
        <v>0.02</v>
      </c>
      <c r="E658" s="119" t="s">
        <v>1073</v>
      </c>
      <c r="F658" s="119" t="s">
        <v>1076</v>
      </c>
    </row>
    <row r="659" ht="22.5" customHeight="1">
      <c r="A659" s="117">
        <v>46015.48333740741</v>
      </c>
      <c r="B659" s="118">
        <v>46015.0</v>
      </c>
      <c r="C659" s="119" t="s">
        <v>170</v>
      </c>
      <c r="D659" s="119">
        <v>11.1</v>
      </c>
      <c r="E659" s="119" t="s">
        <v>1073</v>
      </c>
      <c r="F659" s="119" t="s">
        <v>1082</v>
      </c>
    </row>
    <row r="660" ht="22.5" customHeight="1">
      <c r="A660" s="117">
        <v>46015.48507614584</v>
      </c>
      <c r="B660" s="118">
        <v>46015.0</v>
      </c>
      <c r="C660" s="119" t="s">
        <v>892</v>
      </c>
      <c r="D660" s="119">
        <v>88.9</v>
      </c>
      <c r="E660" s="119" t="s">
        <v>687</v>
      </c>
      <c r="F660" s="119" t="s">
        <v>1079</v>
      </c>
    </row>
    <row r="661" ht="22.5" customHeight="1">
      <c r="A661" s="117">
        <v>46015.48540128472</v>
      </c>
      <c r="B661" s="118">
        <v>46015.0</v>
      </c>
      <c r="C661" s="119" t="s">
        <v>882</v>
      </c>
      <c r="D661" s="119">
        <v>4.0</v>
      </c>
      <c r="E661" s="119" t="s">
        <v>687</v>
      </c>
      <c r="F661" s="119" t="s">
        <v>1079</v>
      </c>
    </row>
    <row r="662" ht="22.5" customHeight="1">
      <c r="A662" s="117">
        <v>46017.33483648148</v>
      </c>
      <c r="B662" s="118">
        <v>46017.0</v>
      </c>
      <c r="C662" s="119" t="s">
        <v>823</v>
      </c>
      <c r="D662" s="119">
        <v>869.5</v>
      </c>
      <c r="E662" s="119" t="s">
        <v>687</v>
      </c>
      <c r="F662" s="119" t="s">
        <v>1077</v>
      </c>
    </row>
    <row r="663" ht="22.5" customHeight="1">
      <c r="A663" s="117">
        <v>46017.33569547454</v>
      </c>
      <c r="B663" s="118">
        <v>46012.0</v>
      </c>
      <c r="C663" s="119" t="s">
        <v>888</v>
      </c>
      <c r="D663" s="119">
        <v>80.0</v>
      </c>
      <c r="E663" s="119" t="s">
        <v>687</v>
      </c>
      <c r="F663" s="119" t="s">
        <v>1077</v>
      </c>
    </row>
    <row r="664" ht="22.5" customHeight="1">
      <c r="A664" s="117">
        <v>46017.336179826394</v>
      </c>
      <c r="B664" s="118">
        <v>45904.0</v>
      </c>
      <c r="C664" s="119" t="s">
        <v>888</v>
      </c>
      <c r="D664" s="119">
        <v>100.0</v>
      </c>
      <c r="E664" s="119" t="s">
        <v>687</v>
      </c>
      <c r="F664" s="119" t="s">
        <v>1077</v>
      </c>
    </row>
    <row r="665" ht="22.5" customHeight="1">
      <c r="A665" s="117">
        <v>46017.33670354167</v>
      </c>
      <c r="B665" s="118">
        <v>45860.0</v>
      </c>
      <c r="C665" s="119" t="s">
        <v>888</v>
      </c>
      <c r="D665" s="119">
        <v>20.0</v>
      </c>
      <c r="E665" s="119" t="s">
        <v>687</v>
      </c>
      <c r="F665" s="119" t="s">
        <v>1077</v>
      </c>
    </row>
    <row r="666" ht="22.5" customHeight="1">
      <c r="A666" s="117">
        <v>46017.42735745371</v>
      </c>
      <c r="B666" s="118">
        <v>46017.0</v>
      </c>
      <c r="C666" s="119" t="s">
        <v>87</v>
      </c>
      <c r="D666" s="119">
        <v>0.8835</v>
      </c>
      <c r="E666" s="119" t="s">
        <v>1073</v>
      </c>
      <c r="F666" s="119" t="s">
        <v>1076</v>
      </c>
    </row>
    <row r="667" ht="22.5" customHeight="1">
      <c r="A667" s="117">
        <v>46017.42789</v>
      </c>
      <c r="B667" s="118">
        <v>46017.0</v>
      </c>
      <c r="C667" s="119" t="s">
        <v>831</v>
      </c>
      <c r="D667" s="119">
        <v>1.0</v>
      </c>
      <c r="E667" s="119" t="s">
        <v>687</v>
      </c>
      <c r="F667" s="119" t="s">
        <v>1076</v>
      </c>
    </row>
    <row r="668" ht="22.5" customHeight="1">
      <c r="A668" s="117">
        <v>46017.43069868056</v>
      </c>
      <c r="B668" s="118">
        <v>46017.0</v>
      </c>
      <c r="C668" s="119" t="s">
        <v>155</v>
      </c>
      <c r="D668" s="119">
        <v>27.0</v>
      </c>
      <c r="E668" s="119" t="s">
        <v>1073</v>
      </c>
      <c r="F668" s="119" t="s">
        <v>1093</v>
      </c>
    </row>
    <row r="669" ht="22.5" customHeight="1">
      <c r="A669" s="117">
        <v>46017.43617689815</v>
      </c>
      <c r="B669" s="118">
        <v>46017.0</v>
      </c>
      <c r="C669" s="119" t="s">
        <v>191</v>
      </c>
      <c r="D669" s="119">
        <v>0.4</v>
      </c>
      <c r="E669" s="119" t="s">
        <v>1073</v>
      </c>
      <c r="F669" s="119" t="s">
        <v>1079</v>
      </c>
    </row>
    <row r="670" ht="22.5" customHeight="1">
      <c r="A670" s="117">
        <v>46017.436463819446</v>
      </c>
      <c r="B670" s="118">
        <v>46017.0</v>
      </c>
      <c r="C670" s="119" t="s">
        <v>274</v>
      </c>
      <c r="D670" s="119">
        <v>1.6</v>
      </c>
      <c r="E670" s="119" t="s">
        <v>1073</v>
      </c>
      <c r="F670" s="119" t="s">
        <v>1079</v>
      </c>
    </row>
    <row r="671" ht="22.5" customHeight="1">
      <c r="A671" s="117">
        <v>46017.69142717593</v>
      </c>
      <c r="B671" s="118">
        <v>46017.0</v>
      </c>
      <c r="C671" s="119" t="s">
        <v>66</v>
      </c>
      <c r="D671" s="119">
        <v>1.0</v>
      </c>
      <c r="E671" s="119" t="s">
        <v>1073</v>
      </c>
      <c r="F671" s="119" t="s">
        <v>1076</v>
      </c>
    </row>
    <row r="672" ht="22.5" customHeight="1">
      <c r="A672" s="117">
        <v>46020.358604583336</v>
      </c>
      <c r="B672" s="118">
        <v>46020.0</v>
      </c>
      <c r="C672" s="119" t="s">
        <v>588</v>
      </c>
      <c r="D672" s="119">
        <v>0.16</v>
      </c>
      <c r="E672" s="119" t="s">
        <v>1073</v>
      </c>
      <c r="F672" s="119" t="s">
        <v>1079</v>
      </c>
    </row>
    <row r="673" ht="22.5" customHeight="1">
      <c r="A673" s="117">
        <v>46020.37618166667</v>
      </c>
      <c r="B673" s="118">
        <v>46020.0</v>
      </c>
      <c r="C673" s="119" t="s">
        <v>501</v>
      </c>
      <c r="D673" s="119">
        <v>2.0</v>
      </c>
      <c r="E673" s="119" t="s">
        <v>1073</v>
      </c>
      <c r="F673" s="119" t="s">
        <v>1079</v>
      </c>
    </row>
    <row r="674" ht="22.5" customHeight="1">
      <c r="A674" s="117">
        <v>46020.37645534722</v>
      </c>
      <c r="B674" s="118">
        <v>46020.0</v>
      </c>
      <c r="C674" s="119" t="s">
        <v>837</v>
      </c>
      <c r="D674" s="119">
        <v>200.0</v>
      </c>
      <c r="E674" s="119" t="s">
        <v>687</v>
      </c>
      <c r="F674" s="119" t="s">
        <v>1079</v>
      </c>
    </row>
    <row r="675" ht="22.5" customHeight="1">
      <c r="A675" s="117">
        <v>46020.70417700231</v>
      </c>
      <c r="B675" s="118">
        <v>46020.0</v>
      </c>
      <c r="C675" s="119" t="s">
        <v>232</v>
      </c>
      <c r="D675" s="119">
        <v>7.1303</v>
      </c>
      <c r="E675" s="119" t="s">
        <v>1073</v>
      </c>
      <c r="F675" s="119" t="s">
        <v>1076</v>
      </c>
    </row>
    <row r="676" ht="22.5" customHeight="1">
      <c r="A676" s="117">
        <v>46020.70470203704</v>
      </c>
      <c r="B676" s="118">
        <v>46020.0</v>
      </c>
      <c r="C676" s="119" t="s">
        <v>420</v>
      </c>
      <c r="D676" s="119">
        <v>6.001</v>
      </c>
      <c r="E676" s="119" t="s">
        <v>1073</v>
      </c>
      <c r="F676" s="119" t="s">
        <v>1076</v>
      </c>
    </row>
    <row r="677" ht="22.5" customHeight="1">
      <c r="A677" s="117">
        <v>46020.70563085648</v>
      </c>
      <c r="B677" s="118">
        <v>46020.0</v>
      </c>
      <c r="C677" s="119" t="s">
        <v>823</v>
      </c>
      <c r="D677" s="119">
        <v>162.0</v>
      </c>
      <c r="E677" s="119" t="s">
        <v>687</v>
      </c>
      <c r="F677" s="119" t="s">
        <v>1076</v>
      </c>
    </row>
    <row r="678" ht="22.5" customHeight="1">
      <c r="A678" s="117">
        <v>46021.34445167824</v>
      </c>
      <c r="B678" s="118">
        <v>46021.0</v>
      </c>
      <c r="C678" s="119" t="s">
        <v>25</v>
      </c>
      <c r="D678" s="119">
        <v>0.5018</v>
      </c>
      <c r="E678" s="119" t="s">
        <v>1073</v>
      </c>
      <c r="F678" s="119" t="s">
        <v>1079</v>
      </c>
    </row>
    <row r="679" ht="22.5" customHeight="1">
      <c r="A679" s="117">
        <v>46021.55834675926</v>
      </c>
      <c r="B679" s="118">
        <v>46021.0</v>
      </c>
      <c r="C679" s="119" t="s">
        <v>875</v>
      </c>
      <c r="D679" s="119">
        <v>50.0</v>
      </c>
      <c r="E679" s="119" t="s">
        <v>687</v>
      </c>
      <c r="F679" s="119" t="s">
        <v>1079</v>
      </c>
    </row>
    <row r="680" ht="22.5" customHeight="1">
      <c r="A680" s="117">
        <v>46021.559067118054</v>
      </c>
      <c r="B680" s="118">
        <v>46021.0</v>
      </c>
      <c r="C680" s="119" t="s">
        <v>395</v>
      </c>
      <c r="D680" s="119">
        <v>0.84</v>
      </c>
      <c r="E680" s="119" t="s">
        <v>1073</v>
      </c>
      <c r="F680" s="119" t="s">
        <v>1079</v>
      </c>
    </row>
    <row r="681" ht="22.5" customHeight="1">
      <c r="A681" s="117">
        <v>46021.57797082176</v>
      </c>
      <c r="B681" s="118">
        <v>46021.0</v>
      </c>
      <c r="C681" s="119" t="s">
        <v>25</v>
      </c>
      <c r="D681" s="119">
        <v>0.5012</v>
      </c>
      <c r="E681" s="119" t="s">
        <v>1073</v>
      </c>
      <c r="F681" s="119" t="s">
        <v>1079</v>
      </c>
    </row>
    <row r="682" ht="22.5" customHeight="1">
      <c r="A682" s="117">
        <v>46021.60728737268</v>
      </c>
      <c r="B682" s="118">
        <v>46021.0</v>
      </c>
      <c r="C682" s="119" t="s">
        <v>337</v>
      </c>
      <c r="D682" s="119">
        <v>0.3029</v>
      </c>
      <c r="E682" s="119" t="s">
        <v>1073</v>
      </c>
      <c r="F682" s="119" t="s">
        <v>1079</v>
      </c>
    </row>
    <row r="683" ht="22.5" customHeight="1">
      <c r="A683" s="117">
        <v>46021.660153379635</v>
      </c>
      <c r="B683" s="118">
        <v>46021.0</v>
      </c>
      <c r="C683" s="119" t="s">
        <v>470</v>
      </c>
      <c r="D683" s="119">
        <v>6.077</v>
      </c>
      <c r="E683" s="119" t="s">
        <v>1073</v>
      </c>
      <c r="F683" s="119" t="s">
        <v>1084</v>
      </c>
    </row>
    <row r="684" ht="22.5" customHeight="1">
      <c r="A684" s="117">
        <v>46021.66059039352</v>
      </c>
      <c r="B684" s="118">
        <v>46021.0</v>
      </c>
      <c r="C684" s="119" t="s">
        <v>957</v>
      </c>
      <c r="D684" s="119">
        <v>0.6</v>
      </c>
      <c r="E684" s="119" t="s">
        <v>687</v>
      </c>
      <c r="F684" s="119" t="s">
        <v>1084</v>
      </c>
    </row>
    <row r="685" ht="22.5" customHeight="1">
      <c r="A685" s="117">
        <v>46022.47109324074</v>
      </c>
      <c r="B685" s="118">
        <v>46022.0</v>
      </c>
      <c r="C685" s="119" t="s">
        <v>38</v>
      </c>
      <c r="D685" s="119">
        <v>15.0045</v>
      </c>
      <c r="E685" s="119" t="s">
        <v>1073</v>
      </c>
      <c r="F685" s="119" t="s">
        <v>1079</v>
      </c>
    </row>
    <row r="686" ht="22.5" customHeight="1">
      <c r="A686" s="117">
        <v>46022.47174498843</v>
      </c>
      <c r="B686" s="118">
        <v>46022.0</v>
      </c>
      <c r="C686" s="119" t="s">
        <v>576</v>
      </c>
      <c r="D686" s="119">
        <v>15.0067</v>
      </c>
      <c r="E686" s="119" t="s">
        <v>1073</v>
      </c>
      <c r="F686" s="119" t="s">
        <v>1079</v>
      </c>
    </row>
    <row r="687" ht="22.5" customHeight="1">
      <c r="A687" s="117">
        <v>46022.56290916666</v>
      </c>
      <c r="B687" s="118">
        <v>46021.0</v>
      </c>
      <c r="C687" s="119" t="s">
        <v>823</v>
      </c>
      <c r="D687" s="119">
        <v>500.0</v>
      </c>
      <c r="E687" s="119" t="s">
        <v>687</v>
      </c>
      <c r="F687" s="119" t="s">
        <v>1076</v>
      </c>
    </row>
    <row r="688" ht="22.5" customHeight="1">
      <c r="A688" s="117">
        <v>46022.56332159722</v>
      </c>
      <c r="B688" s="118">
        <v>46021.0</v>
      </c>
      <c r="C688" s="119" t="s">
        <v>837</v>
      </c>
      <c r="D688" s="119">
        <v>20.0</v>
      </c>
      <c r="E688" s="119" t="s">
        <v>687</v>
      </c>
      <c r="F688" s="119" t="s">
        <v>1076</v>
      </c>
    </row>
    <row r="689" ht="22.5" customHeight="1">
      <c r="A689" s="117">
        <v>46022.56368003473</v>
      </c>
      <c r="B689" s="118">
        <v>46022.0</v>
      </c>
      <c r="C689" s="119" t="s">
        <v>25</v>
      </c>
      <c r="D689" s="119">
        <v>0.051</v>
      </c>
      <c r="E689" s="119" t="s">
        <v>1073</v>
      </c>
      <c r="F689" s="119" t="s">
        <v>1076</v>
      </c>
    </row>
    <row r="690" ht="22.5" customHeight="1">
      <c r="A690" s="117">
        <v>46022.563920636574</v>
      </c>
      <c r="B690" s="118">
        <v>46022.0</v>
      </c>
      <c r="C690" s="119" t="s">
        <v>122</v>
      </c>
      <c r="D690" s="119">
        <v>10.0</v>
      </c>
      <c r="E690" s="119" t="s">
        <v>1073</v>
      </c>
      <c r="F690" s="119" t="s">
        <v>1076</v>
      </c>
    </row>
    <row r="691" ht="22.5" customHeight="1">
      <c r="A691" s="117">
        <v>46022.56434708333</v>
      </c>
      <c r="B691" s="118">
        <v>46022.0</v>
      </c>
      <c r="C691" s="119" t="s">
        <v>420</v>
      </c>
      <c r="D691" s="119">
        <v>1.5</v>
      </c>
      <c r="E691" s="119" t="s">
        <v>1073</v>
      </c>
      <c r="F691" s="119" t="s">
        <v>1076</v>
      </c>
    </row>
    <row r="692" ht="22.5" customHeight="1">
      <c r="A692" s="117">
        <v>46022.7031933449</v>
      </c>
      <c r="B692" s="118">
        <v>46022.0</v>
      </c>
      <c r="C692" s="119" t="s">
        <v>623</v>
      </c>
      <c r="D692" s="119">
        <v>0.25</v>
      </c>
      <c r="E692" s="119" t="s">
        <v>1073</v>
      </c>
      <c r="F692" s="119" t="s">
        <v>1076</v>
      </c>
    </row>
    <row r="693" ht="22.5" customHeight="1">
      <c r="A693" s="117">
        <v>46027.46482028935</v>
      </c>
      <c r="B693" s="118">
        <v>46027.0</v>
      </c>
      <c r="C693" s="119" t="s">
        <v>318</v>
      </c>
      <c r="D693" s="119">
        <v>4.0</v>
      </c>
      <c r="E693" s="119" t="s">
        <v>1073</v>
      </c>
      <c r="F693" s="119" t="s">
        <v>1076</v>
      </c>
    </row>
    <row r="694" ht="22.5" customHeight="1">
      <c r="A694" s="117">
        <v>46027.465229733796</v>
      </c>
      <c r="B694" s="118">
        <v>46027.0</v>
      </c>
      <c r="C694" s="119" t="s">
        <v>204</v>
      </c>
      <c r="D694" s="119">
        <v>3.0</v>
      </c>
      <c r="E694" s="119" t="s">
        <v>1073</v>
      </c>
      <c r="F694" s="119" t="s">
        <v>1076</v>
      </c>
    </row>
    <row r="695" ht="22.5" customHeight="1">
      <c r="A695" s="117">
        <v>46027.46556121528</v>
      </c>
      <c r="B695" s="118">
        <v>46027.0</v>
      </c>
      <c r="C695" s="119" t="s">
        <v>115</v>
      </c>
      <c r="D695" s="119">
        <v>0.12</v>
      </c>
      <c r="E695" s="119" t="s">
        <v>1073</v>
      </c>
      <c r="F695" s="119" t="s">
        <v>1076</v>
      </c>
    </row>
    <row r="696" ht="22.5" customHeight="1">
      <c r="A696" s="117">
        <v>46027.465976921296</v>
      </c>
      <c r="B696" s="118">
        <v>46027.0</v>
      </c>
      <c r="C696" s="119" t="s">
        <v>823</v>
      </c>
      <c r="D696" s="119">
        <v>40.0</v>
      </c>
      <c r="E696" s="119" t="s">
        <v>687</v>
      </c>
      <c r="F696" s="119" t="s">
        <v>1076</v>
      </c>
    </row>
    <row r="697" ht="22.5" customHeight="1">
      <c r="A697" s="117">
        <v>46027.46741232639</v>
      </c>
      <c r="B697" s="118">
        <v>46027.0</v>
      </c>
      <c r="C697" s="119" t="s">
        <v>155</v>
      </c>
      <c r="D697" s="119">
        <v>27.0</v>
      </c>
      <c r="E697" s="119" t="s">
        <v>1073</v>
      </c>
      <c r="F697" s="119" t="s">
        <v>1077</v>
      </c>
    </row>
    <row r="698" ht="22.5" customHeight="1">
      <c r="A698" s="117">
        <v>46027.468067442125</v>
      </c>
      <c r="B698" s="118">
        <v>46027.0</v>
      </c>
      <c r="C698" s="119" t="s">
        <v>823</v>
      </c>
      <c r="D698" s="119">
        <v>3.0</v>
      </c>
      <c r="E698" s="119" t="s">
        <v>687</v>
      </c>
      <c r="F698" s="119" t="s">
        <v>1081</v>
      </c>
    </row>
    <row r="699" ht="22.5" customHeight="1">
      <c r="A699" s="117">
        <v>46027.468405381944</v>
      </c>
      <c r="B699" s="118">
        <v>46027.0</v>
      </c>
      <c r="C699" s="119" t="s">
        <v>45</v>
      </c>
      <c r="D699" s="119">
        <v>0.2</v>
      </c>
      <c r="E699" s="119" t="s">
        <v>1073</v>
      </c>
      <c r="F699" s="119" t="s">
        <v>1081</v>
      </c>
    </row>
    <row r="700" ht="22.5" customHeight="1">
      <c r="A700" s="117">
        <v>46027.69123486111</v>
      </c>
      <c r="B700" s="118">
        <v>46027.0</v>
      </c>
      <c r="C700" s="119" t="s">
        <v>525</v>
      </c>
      <c r="D700" s="119">
        <v>1.0</v>
      </c>
      <c r="E700" s="119" t="s">
        <v>562</v>
      </c>
      <c r="F700" s="119" t="s">
        <v>1096</v>
      </c>
    </row>
    <row r="701" ht="22.5" customHeight="1">
      <c r="A701" s="117">
        <v>46028.28222957176</v>
      </c>
      <c r="B701" s="118">
        <v>46027.0</v>
      </c>
      <c r="C701" s="119" t="s">
        <v>66</v>
      </c>
      <c r="D701" s="119">
        <v>0.2</v>
      </c>
      <c r="E701" s="119" t="s">
        <v>1073</v>
      </c>
      <c r="F701" s="119" t="s">
        <v>1081</v>
      </c>
    </row>
    <row r="702" ht="22.5" customHeight="1">
      <c r="A702" s="117">
        <v>46028.28264829861</v>
      </c>
      <c r="B702" s="118">
        <v>46027.0</v>
      </c>
      <c r="C702" s="119" t="s">
        <v>155</v>
      </c>
      <c r="D702" s="119">
        <v>18.0</v>
      </c>
      <c r="E702" s="119" t="s">
        <v>1073</v>
      </c>
      <c r="F702" s="119" t="s">
        <v>1081</v>
      </c>
    </row>
    <row r="703" ht="22.5" customHeight="1">
      <c r="A703" s="117">
        <v>46028.283070335645</v>
      </c>
      <c r="B703" s="118">
        <v>46027.0</v>
      </c>
      <c r="C703" s="119" t="s">
        <v>831</v>
      </c>
      <c r="D703" s="119">
        <v>3.0</v>
      </c>
      <c r="E703" s="119" t="s">
        <v>687</v>
      </c>
      <c r="F703" s="119" t="s">
        <v>1081</v>
      </c>
    </row>
    <row r="704" ht="22.5" customHeight="1">
      <c r="A704" s="117">
        <v>46028.28355979167</v>
      </c>
      <c r="B704" s="118">
        <v>46027.0</v>
      </c>
      <c r="C704" s="119" t="s">
        <v>170</v>
      </c>
      <c r="D704" s="119">
        <v>100.0</v>
      </c>
      <c r="E704" s="119" t="s">
        <v>1073</v>
      </c>
      <c r="F704" s="119" t="s">
        <v>1081</v>
      </c>
    </row>
    <row r="705" ht="22.5" customHeight="1">
      <c r="A705" s="117">
        <v>46028.28525059028</v>
      </c>
      <c r="B705" s="118">
        <v>46027.0</v>
      </c>
      <c r="C705" s="119" t="s">
        <v>267</v>
      </c>
      <c r="D705" s="119">
        <v>0.6</v>
      </c>
      <c r="E705" s="119" t="s">
        <v>1073</v>
      </c>
      <c r="F705" s="119" t="s">
        <v>1081</v>
      </c>
    </row>
    <row r="706" ht="22.5" customHeight="1">
      <c r="A706" s="117">
        <v>46028.28659121528</v>
      </c>
      <c r="B706" s="118">
        <v>46027.0</v>
      </c>
      <c r="C706" s="119" t="s">
        <v>344</v>
      </c>
      <c r="D706" s="119">
        <v>2.4828</v>
      </c>
      <c r="E706" s="119" t="s">
        <v>1073</v>
      </c>
      <c r="F706" s="119" t="s">
        <v>1081</v>
      </c>
    </row>
    <row r="707" ht="22.5" customHeight="1">
      <c r="A707" s="117">
        <v>46028.286946099535</v>
      </c>
      <c r="B707" s="118">
        <v>46027.0</v>
      </c>
      <c r="C707" s="119" t="s">
        <v>375</v>
      </c>
      <c r="D707" s="119">
        <v>0.01</v>
      </c>
      <c r="E707" s="119" t="s">
        <v>1073</v>
      </c>
      <c r="F707" s="119" t="s">
        <v>1081</v>
      </c>
    </row>
    <row r="708" ht="22.5" customHeight="1">
      <c r="A708" s="117">
        <v>46028.37814361111</v>
      </c>
      <c r="B708" s="118">
        <v>46028.0</v>
      </c>
      <c r="C708" s="119" t="s">
        <v>501</v>
      </c>
      <c r="D708" s="119">
        <v>0.5</v>
      </c>
      <c r="E708" s="119" t="s">
        <v>1073</v>
      </c>
      <c r="F708" s="119" t="s">
        <v>1076</v>
      </c>
    </row>
    <row r="709" ht="22.5" customHeight="1">
      <c r="A709" s="117">
        <v>46028.37885324074</v>
      </c>
      <c r="B709" s="118">
        <v>46028.0</v>
      </c>
      <c r="C709" s="119" t="s">
        <v>837</v>
      </c>
      <c r="D709" s="119">
        <v>105.0</v>
      </c>
      <c r="E709" s="119" t="s">
        <v>687</v>
      </c>
      <c r="F709" s="119" t="s">
        <v>1076</v>
      </c>
    </row>
    <row r="710" ht="22.5" customHeight="1">
      <c r="A710" s="117">
        <v>46028.44453583333</v>
      </c>
      <c r="B710" s="118">
        <v>46028.0</v>
      </c>
      <c r="C710" s="119" t="s">
        <v>356</v>
      </c>
      <c r="D710" s="119">
        <v>24.4803</v>
      </c>
      <c r="E710" s="119" t="s">
        <v>1073</v>
      </c>
      <c r="F710" s="119" t="s">
        <v>1081</v>
      </c>
    </row>
    <row r="711" ht="22.5" customHeight="1">
      <c r="A711" s="117">
        <v>46028.49677282407</v>
      </c>
      <c r="B711" s="118">
        <v>46028.0</v>
      </c>
      <c r="C711" s="119" t="s">
        <v>470</v>
      </c>
      <c r="D711" s="119">
        <v>4.028</v>
      </c>
      <c r="E711" s="119" t="s">
        <v>1073</v>
      </c>
      <c r="F711" s="119" t="s">
        <v>1084</v>
      </c>
    </row>
    <row r="712" ht="22.5" customHeight="1">
      <c r="A712" s="117">
        <v>46028.497500578706</v>
      </c>
      <c r="B712" s="118">
        <v>46028.0</v>
      </c>
      <c r="C712" s="119" t="s">
        <v>476</v>
      </c>
      <c r="D712" s="119">
        <v>2.553</v>
      </c>
      <c r="E712" s="119" t="s">
        <v>1073</v>
      </c>
      <c r="F712" s="119" t="s">
        <v>1084</v>
      </c>
    </row>
    <row r="713" ht="22.5" customHeight="1">
      <c r="A713" s="117">
        <v>46028.49800836806</v>
      </c>
      <c r="B713" s="118">
        <v>46028.0</v>
      </c>
      <c r="C713" s="119" t="s">
        <v>538</v>
      </c>
      <c r="D713" s="119">
        <v>2.545</v>
      </c>
      <c r="E713" s="119" t="s">
        <v>1073</v>
      </c>
      <c r="F713" s="119" t="s">
        <v>1084</v>
      </c>
    </row>
    <row r="714" ht="22.5" customHeight="1">
      <c r="A714" s="117">
        <v>46028.53035706018</v>
      </c>
      <c r="B714" s="118">
        <v>46028.0</v>
      </c>
      <c r="C714" s="119" t="s">
        <v>66</v>
      </c>
      <c r="D714" s="119">
        <v>3.0</v>
      </c>
      <c r="E714" s="119" t="s">
        <v>1073</v>
      </c>
      <c r="F714" s="119" t="s">
        <v>1081</v>
      </c>
    </row>
    <row r="715" ht="22.5" customHeight="1">
      <c r="A715" s="117">
        <v>46028.53122896991</v>
      </c>
      <c r="B715" s="118">
        <v>46028.0</v>
      </c>
      <c r="C715" s="119" t="s">
        <v>45</v>
      </c>
      <c r="D715" s="119">
        <v>0.2</v>
      </c>
      <c r="E715" s="119" t="s">
        <v>1073</v>
      </c>
      <c r="F715" s="119" t="s">
        <v>1081</v>
      </c>
    </row>
    <row r="716" ht="22.5" customHeight="1">
      <c r="A716" s="117">
        <v>46028.655413252316</v>
      </c>
      <c r="B716" s="118">
        <v>46028.0</v>
      </c>
      <c r="C716" s="119" t="s">
        <v>532</v>
      </c>
      <c r="D716" s="119">
        <v>1.0</v>
      </c>
      <c r="E716" s="119" t="s">
        <v>562</v>
      </c>
      <c r="F716" s="119" t="s">
        <v>1084</v>
      </c>
    </row>
    <row r="717" ht="22.5" customHeight="1">
      <c r="A717" s="117">
        <v>46028.70167041667</v>
      </c>
      <c r="B717" s="118">
        <v>46028.0</v>
      </c>
      <c r="C717" s="119" t="s">
        <v>87</v>
      </c>
      <c r="D717" s="119">
        <v>0.75</v>
      </c>
      <c r="E717" s="119" t="s">
        <v>1073</v>
      </c>
      <c r="F717" s="119" t="s">
        <v>1081</v>
      </c>
    </row>
    <row r="718" ht="22.5" customHeight="1">
      <c r="A718" s="117">
        <v>46028.70338890047</v>
      </c>
      <c r="B718" s="118">
        <v>46028.0</v>
      </c>
      <c r="C718" s="119" t="s">
        <v>438</v>
      </c>
      <c r="D718" s="119">
        <v>1.27</v>
      </c>
      <c r="E718" s="119" t="s">
        <v>1073</v>
      </c>
      <c r="F718" s="119" t="s">
        <v>1081</v>
      </c>
    </row>
    <row r="719" ht="22.5" customHeight="1">
      <c r="A719" s="117">
        <v>46028.703650104166</v>
      </c>
      <c r="B719" s="118">
        <v>46028.0</v>
      </c>
      <c r="C719" s="119" t="s">
        <v>66</v>
      </c>
      <c r="D719" s="119">
        <v>4.0</v>
      </c>
      <c r="E719" s="119" t="s">
        <v>1073</v>
      </c>
      <c r="F719" s="119" t="s">
        <v>1081</v>
      </c>
    </row>
    <row r="720" ht="22.5" customHeight="1">
      <c r="A720" s="117">
        <v>46028.70406938657</v>
      </c>
      <c r="B720" s="118">
        <v>46028.0</v>
      </c>
      <c r="C720" s="119" t="s">
        <v>344</v>
      </c>
      <c r="D720" s="119">
        <v>2.5</v>
      </c>
      <c r="E720" s="119" t="s">
        <v>1073</v>
      </c>
      <c r="F720" s="119" t="s">
        <v>1081</v>
      </c>
    </row>
    <row r="721" ht="22.5" customHeight="1">
      <c r="A721" s="117">
        <v>46028.70448422454</v>
      </c>
      <c r="B721" s="118">
        <v>46028.0</v>
      </c>
      <c r="C721" s="119" t="s">
        <v>375</v>
      </c>
      <c r="D721" s="119">
        <v>0.01</v>
      </c>
      <c r="E721" s="119" t="s">
        <v>1073</v>
      </c>
      <c r="F721" s="119" t="s">
        <v>1081</v>
      </c>
    </row>
    <row r="722" ht="22.5" customHeight="1">
      <c r="A722" s="117">
        <v>46028.70497474537</v>
      </c>
      <c r="B722" s="118">
        <v>46028.0</v>
      </c>
      <c r="C722" s="119" t="s">
        <v>831</v>
      </c>
      <c r="D722" s="119">
        <v>6.0</v>
      </c>
      <c r="E722" s="119" t="s">
        <v>687</v>
      </c>
      <c r="F722" s="119" t="s">
        <v>1081</v>
      </c>
    </row>
    <row r="723" ht="22.5" customHeight="1">
      <c r="A723" s="117">
        <v>46029.46478429398</v>
      </c>
      <c r="B723" s="118">
        <v>46029.0</v>
      </c>
      <c r="C723" s="119" t="s">
        <v>59</v>
      </c>
      <c r="D723" s="119">
        <v>45.0</v>
      </c>
      <c r="E723" s="119" t="s">
        <v>1073</v>
      </c>
      <c r="F723" s="119" t="s">
        <v>1076</v>
      </c>
    </row>
    <row r="724" ht="22.5" customHeight="1">
      <c r="A724" s="117">
        <v>46029.46512471065</v>
      </c>
      <c r="B724" s="118">
        <v>46029.0</v>
      </c>
      <c r="C724" s="119" t="s">
        <v>519</v>
      </c>
      <c r="D724" s="119">
        <v>7.6</v>
      </c>
      <c r="E724" s="119" t="s">
        <v>1073</v>
      </c>
      <c r="F724" s="119" t="s">
        <v>1076</v>
      </c>
    </row>
    <row r="725" ht="22.5" customHeight="1">
      <c r="A725" s="117">
        <v>46029.46540724537</v>
      </c>
      <c r="B725" s="118">
        <v>46029.0</v>
      </c>
      <c r="C725" s="119" t="s">
        <v>142</v>
      </c>
      <c r="D725" s="119">
        <v>1.0</v>
      </c>
      <c r="E725" s="119" t="s">
        <v>1073</v>
      </c>
      <c r="F725" s="119" t="s">
        <v>1076</v>
      </c>
    </row>
    <row r="726" ht="22.5" customHeight="1">
      <c r="A726" s="117">
        <v>46029.46574197916</v>
      </c>
      <c r="B726" s="118">
        <v>46029.0</v>
      </c>
      <c r="C726" s="119" t="s">
        <v>331</v>
      </c>
      <c r="D726" s="119">
        <v>0.111</v>
      </c>
      <c r="E726" s="119" t="s">
        <v>1073</v>
      </c>
      <c r="F726" s="119" t="s">
        <v>1076</v>
      </c>
    </row>
    <row r="727" ht="22.5" customHeight="1">
      <c r="A727" s="117">
        <v>46029.46604944444</v>
      </c>
      <c r="B727" s="118">
        <v>46029.0</v>
      </c>
      <c r="C727" s="119" t="s">
        <v>862</v>
      </c>
      <c r="D727" s="119">
        <v>30.0</v>
      </c>
      <c r="E727" s="119" t="s">
        <v>687</v>
      </c>
      <c r="F727" s="119" t="s">
        <v>1076</v>
      </c>
    </row>
    <row r="728" ht="22.5" customHeight="1">
      <c r="A728" s="117">
        <v>46029.46799341435</v>
      </c>
      <c r="B728" s="118">
        <v>46029.0</v>
      </c>
      <c r="C728" s="119" t="s">
        <v>177</v>
      </c>
      <c r="D728" s="119">
        <v>11.0</v>
      </c>
      <c r="E728" s="119" t="s">
        <v>1073</v>
      </c>
      <c r="F728" s="119" t="s">
        <v>1090</v>
      </c>
    </row>
    <row r="729" ht="22.5" customHeight="1">
      <c r="A729" s="117">
        <v>46029.468341087966</v>
      </c>
      <c r="B729" s="118">
        <v>46029.0</v>
      </c>
      <c r="C729" s="119" t="s">
        <v>38</v>
      </c>
      <c r="D729" s="119">
        <v>17.1</v>
      </c>
      <c r="E729" s="119" t="s">
        <v>1073</v>
      </c>
      <c r="F729" s="119" t="s">
        <v>1076</v>
      </c>
    </row>
    <row r="730" ht="22.5" customHeight="1">
      <c r="A730" s="117">
        <v>46029.46863537037</v>
      </c>
      <c r="B730" s="118">
        <v>46029.0</v>
      </c>
      <c r="C730" s="119" t="s">
        <v>576</v>
      </c>
      <c r="D730" s="119">
        <v>16.7</v>
      </c>
      <c r="E730" s="119" t="s">
        <v>1073</v>
      </c>
      <c r="F730" s="119" t="s">
        <v>1076</v>
      </c>
    </row>
    <row r="731" ht="22.5" customHeight="1">
      <c r="A731" s="117">
        <v>46029.49235619213</v>
      </c>
      <c r="B731" s="118">
        <v>46029.0</v>
      </c>
      <c r="C731" s="119" t="s">
        <v>476</v>
      </c>
      <c r="D731" s="119">
        <v>2.551</v>
      </c>
      <c r="E731" s="119" t="s">
        <v>1073</v>
      </c>
      <c r="F731" s="119" t="s">
        <v>1084</v>
      </c>
    </row>
    <row r="732" ht="22.5" customHeight="1">
      <c r="A732" s="117">
        <v>46029.49273869213</v>
      </c>
      <c r="B732" s="118">
        <v>46029.0</v>
      </c>
      <c r="C732" s="119" t="s">
        <v>470</v>
      </c>
      <c r="D732" s="119">
        <v>8.018</v>
      </c>
      <c r="E732" s="119" t="s">
        <v>1073</v>
      </c>
      <c r="F732" s="119" t="s">
        <v>1084</v>
      </c>
    </row>
    <row r="733" ht="22.5" customHeight="1">
      <c r="A733" s="117">
        <v>46029.66885560185</v>
      </c>
      <c r="B733" s="118">
        <v>46029.0</v>
      </c>
      <c r="C733" s="119" t="s">
        <v>45</v>
      </c>
      <c r="D733" s="119">
        <v>0.2</v>
      </c>
      <c r="E733" s="119" t="s">
        <v>1073</v>
      </c>
      <c r="F733" s="119" t="s">
        <v>1081</v>
      </c>
    </row>
    <row r="734" ht="22.5" customHeight="1">
      <c r="A734" s="117">
        <v>46029.669123784726</v>
      </c>
      <c r="B734" s="118">
        <v>46029.0</v>
      </c>
      <c r="C734" s="119" t="s">
        <v>87</v>
      </c>
      <c r="D734" s="119">
        <v>0.35</v>
      </c>
      <c r="E734" s="119" t="s">
        <v>1073</v>
      </c>
      <c r="F734" s="119" t="s">
        <v>1081</v>
      </c>
    </row>
    <row r="735" ht="22.5" customHeight="1">
      <c r="A735" s="117">
        <v>46029.677625752316</v>
      </c>
      <c r="B735" s="118">
        <v>46029.0</v>
      </c>
      <c r="C735" s="119" t="s">
        <v>66</v>
      </c>
      <c r="D735" s="119">
        <v>4.0</v>
      </c>
      <c r="E735" s="119" t="s">
        <v>1073</v>
      </c>
      <c r="F735" s="119" t="s">
        <v>1081</v>
      </c>
    </row>
    <row r="736" ht="22.5" customHeight="1">
      <c r="A736" s="117">
        <v>46029.68836835648</v>
      </c>
      <c r="B736" s="118">
        <v>46029.0</v>
      </c>
      <c r="C736" s="119" t="s">
        <v>155</v>
      </c>
      <c r="D736" s="119">
        <v>15.0</v>
      </c>
      <c r="E736" s="119" t="s">
        <v>1073</v>
      </c>
      <c r="F736" s="119" t="s">
        <v>1090</v>
      </c>
    </row>
    <row r="737" ht="22.5" customHeight="1">
      <c r="A737" s="117">
        <v>46029.688646435185</v>
      </c>
      <c r="B737" s="118">
        <v>46029.0</v>
      </c>
      <c r="C737" s="119" t="s">
        <v>649</v>
      </c>
      <c r="D737" s="119">
        <v>1.0</v>
      </c>
      <c r="E737" s="119" t="s">
        <v>562</v>
      </c>
      <c r="F737" s="119" t="s">
        <v>1090</v>
      </c>
    </row>
    <row r="738" ht="22.5" customHeight="1">
      <c r="A738" s="117">
        <v>46029.689985624995</v>
      </c>
      <c r="B738" s="118">
        <v>46029.0</v>
      </c>
      <c r="C738" s="119" t="s">
        <v>831</v>
      </c>
      <c r="D738" s="119">
        <v>170.0</v>
      </c>
      <c r="E738" s="119" t="s">
        <v>687</v>
      </c>
      <c r="F738" s="119" t="s">
        <v>1090</v>
      </c>
    </row>
    <row r="739" ht="22.5" customHeight="1">
      <c r="A739" s="117">
        <v>46029.69114422453</v>
      </c>
      <c r="B739" s="118">
        <v>46029.0</v>
      </c>
      <c r="C739" s="119" t="s">
        <v>817</v>
      </c>
      <c r="D739" s="119">
        <v>250.0</v>
      </c>
      <c r="E739" s="119" t="s">
        <v>687</v>
      </c>
      <c r="F739" s="119" t="s">
        <v>1090</v>
      </c>
    </row>
    <row r="740" ht="22.5" customHeight="1">
      <c r="A740" s="117">
        <v>46029.69209275463</v>
      </c>
      <c r="B740" s="118">
        <v>46029.0</v>
      </c>
      <c r="C740" s="119" t="s">
        <v>38</v>
      </c>
      <c r="D740" s="119">
        <v>17.0</v>
      </c>
      <c r="E740" s="119" t="s">
        <v>1073</v>
      </c>
      <c r="F740" s="119" t="s">
        <v>1090</v>
      </c>
    </row>
    <row r="741" ht="22.5" customHeight="1">
      <c r="A741" s="117">
        <v>46029.692460081016</v>
      </c>
      <c r="B741" s="118">
        <v>46029.0</v>
      </c>
      <c r="C741" s="119" t="s">
        <v>576</v>
      </c>
      <c r="D741" s="119">
        <v>17.0</v>
      </c>
      <c r="E741" s="119" t="s">
        <v>1073</v>
      </c>
      <c r="F741" s="119" t="s">
        <v>1090</v>
      </c>
    </row>
    <row r="742" ht="22.5" customHeight="1">
      <c r="A742" s="117">
        <v>46029.69318079861</v>
      </c>
      <c r="B742" s="118">
        <v>46029.0</v>
      </c>
      <c r="C742" s="119" t="s">
        <v>155</v>
      </c>
      <c r="D742" s="119">
        <v>8.5</v>
      </c>
      <c r="E742" s="119" t="s">
        <v>1073</v>
      </c>
      <c r="F742" s="119" t="s">
        <v>1090</v>
      </c>
    </row>
    <row r="743" ht="22.5" customHeight="1">
      <c r="A743" s="117">
        <v>46029.693597060184</v>
      </c>
      <c r="B743" s="118">
        <v>46029.0</v>
      </c>
      <c r="C743" s="119" t="s">
        <v>464</v>
      </c>
      <c r="D743" s="119">
        <v>20.0</v>
      </c>
      <c r="E743" s="119" t="s">
        <v>1073</v>
      </c>
      <c r="F743" s="119" t="s">
        <v>1090</v>
      </c>
    </row>
    <row r="744" ht="22.5" customHeight="1">
      <c r="A744" s="117">
        <v>46029.69579745371</v>
      </c>
      <c r="B744" s="118">
        <v>46008.0</v>
      </c>
      <c r="C744" s="119" t="s">
        <v>691</v>
      </c>
      <c r="D744" s="119">
        <v>1.0</v>
      </c>
      <c r="E744" s="119" t="s">
        <v>687</v>
      </c>
      <c r="F744" s="119" t="s">
        <v>1090</v>
      </c>
    </row>
    <row r="745" ht="22.5" customHeight="1">
      <c r="A745" s="117">
        <v>46029.696281666664</v>
      </c>
      <c r="B745" s="118">
        <v>46008.0</v>
      </c>
      <c r="C745" s="119" t="s">
        <v>709</v>
      </c>
      <c r="D745" s="119">
        <v>1.0</v>
      </c>
      <c r="E745" s="119" t="s">
        <v>687</v>
      </c>
      <c r="F745" s="119" t="s">
        <v>1090</v>
      </c>
    </row>
    <row r="746" ht="22.5" customHeight="1">
      <c r="A746" s="117">
        <v>46029.696563958336</v>
      </c>
      <c r="B746" s="118">
        <v>46008.0</v>
      </c>
      <c r="C746" s="119" t="s">
        <v>683</v>
      </c>
      <c r="D746" s="119">
        <v>1.0</v>
      </c>
      <c r="E746" s="119" t="s">
        <v>687</v>
      </c>
      <c r="F746" s="119" t="s">
        <v>1090</v>
      </c>
    </row>
    <row r="747" ht="22.5" customHeight="1">
      <c r="A747" s="117">
        <v>46029.69696671296</v>
      </c>
      <c r="B747" s="118">
        <v>46009.0</v>
      </c>
      <c r="C747" s="119" t="s">
        <v>709</v>
      </c>
      <c r="D747" s="119">
        <v>2.0</v>
      </c>
      <c r="E747" s="119" t="s">
        <v>687</v>
      </c>
      <c r="F747" s="119" t="s">
        <v>1090</v>
      </c>
    </row>
    <row r="748" ht="22.5" customHeight="1">
      <c r="A748" s="117">
        <v>46029.69743163194</v>
      </c>
      <c r="B748" s="118">
        <v>46008.0</v>
      </c>
      <c r="C748" s="119" t="s">
        <v>697</v>
      </c>
      <c r="D748" s="119">
        <v>1.0</v>
      </c>
      <c r="E748" s="119" t="s">
        <v>687</v>
      </c>
      <c r="F748" s="119" t="s">
        <v>1076</v>
      </c>
    </row>
    <row r="749" ht="22.5" customHeight="1">
      <c r="A749" s="117">
        <v>46029.697667430555</v>
      </c>
      <c r="B749" s="118">
        <v>46008.0</v>
      </c>
      <c r="C749" s="119" t="s">
        <v>715</v>
      </c>
      <c r="D749" s="119">
        <v>1.0</v>
      </c>
      <c r="E749" s="119" t="s">
        <v>687</v>
      </c>
      <c r="F749" s="119" t="s">
        <v>1090</v>
      </c>
    </row>
    <row r="750" ht="22.5" customHeight="1">
      <c r="A750" s="117">
        <v>46029.69790321759</v>
      </c>
      <c r="B750" s="118">
        <v>46008.0</v>
      </c>
      <c r="C750" s="119" t="s">
        <v>811</v>
      </c>
      <c r="D750" s="119">
        <v>1.0</v>
      </c>
      <c r="E750" s="119" t="s">
        <v>687</v>
      </c>
      <c r="F750" s="119" t="s">
        <v>1090</v>
      </c>
    </row>
    <row r="751" ht="22.5" customHeight="1">
      <c r="A751" s="117">
        <v>46029.698170601856</v>
      </c>
      <c r="B751" s="118">
        <v>46008.0</v>
      </c>
      <c r="C751" s="119" t="s">
        <v>781</v>
      </c>
      <c r="D751" s="119">
        <v>1.0</v>
      </c>
      <c r="E751" s="119" t="s">
        <v>687</v>
      </c>
      <c r="F751" s="119" t="s">
        <v>1090</v>
      </c>
    </row>
    <row r="752" ht="22.5" customHeight="1">
      <c r="A752" s="117">
        <v>46029.698435625</v>
      </c>
      <c r="B752" s="118">
        <v>46008.0</v>
      </c>
      <c r="C752" s="119" t="s">
        <v>775</v>
      </c>
      <c r="D752" s="119">
        <v>1.0</v>
      </c>
      <c r="E752" s="119" t="s">
        <v>687</v>
      </c>
      <c r="F752" s="119" t="s">
        <v>1090</v>
      </c>
    </row>
    <row r="753" ht="22.5" customHeight="1">
      <c r="A753" s="117">
        <v>46029.69869204861</v>
      </c>
      <c r="B753" s="118">
        <v>46008.0</v>
      </c>
      <c r="C753" s="119" t="s">
        <v>745</v>
      </c>
      <c r="D753" s="119">
        <v>1.0</v>
      </c>
      <c r="E753" s="119" t="s">
        <v>687</v>
      </c>
      <c r="F753" s="119" t="s">
        <v>1090</v>
      </c>
    </row>
    <row r="754" ht="22.5" customHeight="1">
      <c r="A754" s="117">
        <v>46029.69902054398</v>
      </c>
      <c r="B754" s="118">
        <v>46008.0</v>
      </c>
      <c r="C754" s="119" t="s">
        <v>769</v>
      </c>
      <c r="D754" s="119">
        <v>1.0</v>
      </c>
      <c r="E754" s="119" t="s">
        <v>687</v>
      </c>
      <c r="F754" s="119" t="s">
        <v>1090</v>
      </c>
    </row>
    <row r="755" ht="22.5" customHeight="1">
      <c r="A755" s="117">
        <v>46029.69928483796</v>
      </c>
      <c r="B755" s="118">
        <v>46008.0</v>
      </c>
      <c r="C755" s="119" t="s">
        <v>938</v>
      </c>
      <c r="D755" s="119">
        <v>1.0</v>
      </c>
      <c r="E755" s="119" t="s">
        <v>687</v>
      </c>
      <c r="F755" s="119" t="s">
        <v>1090</v>
      </c>
    </row>
    <row r="756" ht="22.5" customHeight="1">
      <c r="A756" s="117">
        <v>46029.699562442125</v>
      </c>
      <c r="B756" s="118">
        <v>46008.0</v>
      </c>
      <c r="C756" s="119" t="s">
        <v>763</v>
      </c>
      <c r="D756" s="119">
        <v>2.0</v>
      </c>
      <c r="E756" s="119" t="s">
        <v>687</v>
      </c>
      <c r="F756" s="119" t="s">
        <v>1090</v>
      </c>
    </row>
    <row r="757" ht="22.5" customHeight="1">
      <c r="A757" s="117">
        <v>46029.69982231481</v>
      </c>
      <c r="B757" s="118">
        <v>46008.0</v>
      </c>
      <c r="C757" s="119" t="s">
        <v>757</v>
      </c>
      <c r="D757" s="119">
        <v>1.0</v>
      </c>
      <c r="E757" s="119" t="s">
        <v>687</v>
      </c>
      <c r="F757" s="119" t="s">
        <v>1090</v>
      </c>
    </row>
    <row r="758" ht="22.5" customHeight="1">
      <c r="A758" s="117">
        <v>46029.70007478009</v>
      </c>
      <c r="B758" s="118">
        <v>46008.0</v>
      </c>
      <c r="C758" s="119" t="s">
        <v>733</v>
      </c>
      <c r="D758" s="119">
        <v>1.0</v>
      </c>
      <c r="E758" s="119" t="s">
        <v>687</v>
      </c>
      <c r="F758" s="119" t="s">
        <v>1090</v>
      </c>
    </row>
    <row r="759" ht="22.5" customHeight="1">
      <c r="A759" s="117">
        <v>46029.700332175926</v>
      </c>
      <c r="B759" s="118">
        <v>46008.0</v>
      </c>
      <c r="C759" s="119" t="s">
        <v>721</v>
      </c>
      <c r="D759" s="119">
        <v>1.0</v>
      </c>
      <c r="E759" s="119" t="s">
        <v>687</v>
      </c>
      <c r="F759" s="119" t="s">
        <v>1090</v>
      </c>
    </row>
    <row r="760" ht="22.5" customHeight="1">
      <c r="A760" s="117">
        <v>46029.7005612037</v>
      </c>
      <c r="B760" s="118">
        <v>46008.0</v>
      </c>
      <c r="C760" s="119" t="s">
        <v>974</v>
      </c>
      <c r="D760" s="119">
        <v>1.0</v>
      </c>
      <c r="E760" s="119" t="s">
        <v>687</v>
      </c>
      <c r="F760" s="119" t="s">
        <v>1090</v>
      </c>
    </row>
    <row r="761" ht="22.5" customHeight="1">
      <c r="A761" s="117">
        <v>46029.70079584491</v>
      </c>
      <c r="B761" s="118">
        <v>46008.0</v>
      </c>
      <c r="C761" s="119" t="s">
        <v>786</v>
      </c>
      <c r="D761" s="119">
        <v>1.0</v>
      </c>
      <c r="E761" s="119" t="s">
        <v>687</v>
      </c>
      <c r="F761" s="119" t="s">
        <v>1090</v>
      </c>
    </row>
    <row r="762" ht="22.5" customHeight="1">
      <c r="A762" s="117">
        <v>46029.70107755787</v>
      </c>
      <c r="B762" s="118">
        <v>46008.0</v>
      </c>
      <c r="C762" s="119" t="s">
        <v>703</v>
      </c>
      <c r="D762" s="119">
        <v>1.0</v>
      </c>
      <c r="E762" s="119" t="s">
        <v>687</v>
      </c>
      <c r="F762" s="119" t="s">
        <v>1090</v>
      </c>
    </row>
    <row r="763" ht="22.5" customHeight="1">
      <c r="A763" s="117">
        <v>46029.701333993056</v>
      </c>
      <c r="B763" s="118">
        <v>46008.0</v>
      </c>
      <c r="C763" s="119" t="s">
        <v>739</v>
      </c>
      <c r="D763" s="119">
        <v>2.0</v>
      </c>
      <c r="E763" s="119" t="s">
        <v>687</v>
      </c>
      <c r="F763" s="119" t="s">
        <v>1090</v>
      </c>
    </row>
    <row r="764" ht="22.5" customHeight="1">
      <c r="A764" s="117">
        <v>46029.70162609954</v>
      </c>
      <c r="B764" s="118">
        <v>46008.0</v>
      </c>
      <c r="C764" s="119" t="s">
        <v>727</v>
      </c>
      <c r="D764" s="119">
        <v>2.0</v>
      </c>
      <c r="E764" s="119" t="s">
        <v>687</v>
      </c>
      <c r="F764" s="119" t="s">
        <v>1090</v>
      </c>
    </row>
    <row r="765" ht="22.5" customHeight="1">
      <c r="A765" s="117">
        <v>46029.70189859954</v>
      </c>
      <c r="B765" s="118">
        <v>46008.0</v>
      </c>
      <c r="C765" s="119" t="s">
        <v>751</v>
      </c>
      <c r="D765" s="119">
        <v>2.0</v>
      </c>
      <c r="E765" s="119" t="s">
        <v>687</v>
      </c>
      <c r="F765" s="119" t="s">
        <v>1090</v>
      </c>
    </row>
    <row r="766" ht="22.5" customHeight="1">
      <c r="A766" s="117">
        <v>46029.70218917824</v>
      </c>
      <c r="B766" s="118">
        <v>46008.0</v>
      </c>
      <c r="C766" s="119" t="s">
        <v>968</v>
      </c>
      <c r="D766" s="119">
        <v>2.0</v>
      </c>
      <c r="E766" s="119" t="s">
        <v>687</v>
      </c>
      <c r="F766" s="119" t="s">
        <v>1090</v>
      </c>
    </row>
    <row r="767" ht="22.5" customHeight="1">
      <c r="A767" s="117">
        <v>46029.70246606482</v>
      </c>
      <c r="B767" s="118">
        <v>46008.0</v>
      </c>
      <c r="C767" s="119" t="s">
        <v>786</v>
      </c>
      <c r="D767" s="119">
        <v>2.0</v>
      </c>
      <c r="E767" s="119" t="s">
        <v>687</v>
      </c>
      <c r="F767" s="119" t="s">
        <v>1090</v>
      </c>
    </row>
    <row r="768" ht="22.5" customHeight="1">
      <c r="A768" s="117">
        <v>46029.70431480324</v>
      </c>
      <c r="B768" s="118">
        <v>46029.0</v>
      </c>
      <c r="C768" s="119" t="s">
        <v>344</v>
      </c>
      <c r="D768" s="119">
        <v>4.896</v>
      </c>
      <c r="E768" s="119" t="s">
        <v>1073</v>
      </c>
      <c r="F768" s="119" t="s">
        <v>1081</v>
      </c>
    </row>
    <row r="769" ht="22.5" customHeight="1">
      <c r="A769" s="117">
        <v>46029.70453113426</v>
      </c>
      <c r="B769" s="118">
        <v>46029.0</v>
      </c>
      <c r="C769" s="119" t="s">
        <v>375</v>
      </c>
      <c r="D769" s="119">
        <v>0.02</v>
      </c>
      <c r="E769" s="119" t="s">
        <v>1073</v>
      </c>
      <c r="F769" s="119" t="s">
        <v>1081</v>
      </c>
    </row>
    <row r="770" ht="22.5" customHeight="1">
      <c r="A770" s="117">
        <v>46029.7045331713</v>
      </c>
      <c r="B770" s="118">
        <v>46016.0</v>
      </c>
      <c r="C770" s="119" t="s">
        <v>184</v>
      </c>
      <c r="D770" s="119">
        <v>0.4</v>
      </c>
      <c r="E770" s="119" t="s">
        <v>1073</v>
      </c>
      <c r="F770" s="119" t="s">
        <v>1090</v>
      </c>
    </row>
    <row r="771" ht="22.5" customHeight="1">
      <c r="A771" s="117">
        <v>46029.70617427083</v>
      </c>
      <c r="B771" s="118">
        <v>46029.0</v>
      </c>
      <c r="C771" s="119" t="s">
        <v>957</v>
      </c>
      <c r="D771" s="119">
        <v>0.4</v>
      </c>
      <c r="E771" s="119" t="s">
        <v>687</v>
      </c>
      <c r="F771" s="119" t="s">
        <v>1084</v>
      </c>
    </row>
    <row r="772" ht="22.5" customHeight="1">
      <c r="A772" s="117">
        <v>46030.30989369213</v>
      </c>
      <c r="B772" s="118">
        <v>46030.0</v>
      </c>
      <c r="C772" s="119" t="s">
        <v>45</v>
      </c>
      <c r="D772" s="119">
        <v>0.1</v>
      </c>
      <c r="E772" s="119" t="s">
        <v>1073</v>
      </c>
      <c r="F772" s="119" t="s">
        <v>1081</v>
      </c>
    </row>
    <row r="773" ht="22.5" customHeight="1">
      <c r="A773" s="117">
        <v>46030.42024947917</v>
      </c>
      <c r="B773" s="118">
        <v>46030.0</v>
      </c>
      <c r="C773" s="119" t="s">
        <v>191</v>
      </c>
      <c r="D773" s="119">
        <v>1.0</v>
      </c>
      <c r="E773" s="119" t="s">
        <v>1073</v>
      </c>
      <c r="F773" s="119" t="s">
        <v>1076</v>
      </c>
    </row>
    <row r="774" ht="22.5" customHeight="1">
      <c r="A774" s="117">
        <v>46030.42059386574</v>
      </c>
      <c r="B774" s="118">
        <v>46030.0</v>
      </c>
      <c r="C774" s="119" t="s">
        <v>274</v>
      </c>
      <c r="D774" s="119">
        <v>8.0</v>
      </c>
      <c r="E774" s="119" t="s">
        <v>1073</v>
      </c>
      <c r="F774" s="119" t="s">
        <v>1076</v>
      </c>
    </row>
    <row r="775" ht="22.5" customHeight="1">
      <c r="A775" s="117">
        <v>46030.42093256944</v>
      </c>
      <c r="B775" s="118">
        <v>46030.0</v>
      </c>
      <c r="C775" s="119" t="s">
        <v>914</v>
      </c>
      <c r="D775" s="119">
        <v>17.5</v>
      </c>
      <c r="E775" s="119" t="s">
        <v>687</v>
      </c>
      <c r="F775" s="119" t="s">
        <v>1090</v>
      </c>
    </row>
    <row r="776" ht="22.5" customHeight="1">
      <c r="A776" s="117">
        <v>46030.42126123843</v>
      </c>
      <c r="B776" s="118">
        <v>46030.0</v>
      </c>
      <c r="C776" s="119" t="s">
        <v>177</v>
      </c>
      <c r="D776" s="119">
        <v>10.0</v>
      </c>
      <c r="E776" s="119" t="s">
        <v>1073</v>
      </c>
      <c r="F776" s="119" t="s">
        <v>1090</v>
      </c>
    </row>
    <row r="777" ht="22.5" customHeight="1">
      <c r="A777" s="117">
        <v>46030.544876342596</v>
      </c>
      <c r="B777" s="118">
        <v>46030.0</v>
      </c>
      <c r="C777" s="119" t="s">
        <v>66</v>
      </c>
      <c r="D777" s="119">
        <v>1.0</v>
      </c>
      <c r="E777" s="119" t="s">
        <v>1073</v>
      </c>
      <c r="F777" s="119" t="s">
        <v>1081</v>
      </c>
    </row>
    <row r="778" ht="22.5" customHeight="1">
      <c r="A778" s="117">
        <v>46030.54579253472</v>
      </c>
      <c r="B778" s="118">
        <v>46030.0</v>
      </c>
      <c r="C778" s="119" t="s">
        <v>831</v>
      </c>
      <c r="D778" s="119">
        <v>3.0</v>
      </c>
      <c r="E778" s="119" t="s">
        <v>687</v>
      </c>
      <c r="F778" s="119" t="s">
        <v>1097</v>
      </c>
    </row>
    <row r="779" ht="22.5" customHeight="1">
      <c r="A779" s="117">
        <v>46030.54638023148</v>
      </c>
      <c r="B779" s="118">
        <v>46030.0</v>
      </c>
      <c r="C779" s="119" t="s">
        <v>211</v>
      </c>
      <c r="D779" s="119">
        <v>0.14</v>
      </c>
      <c r="E779" s="119" t="s">
        <v>1073</v>
      </c>
      <c r="F779" s="119" t="s">
        <v>1081</v>
      </c>
    </row>
    <row r="780" ht="22.5" customHeight="1">
      <c r="A780" s="117">
        <v>46030.62260540509</v>
      </c>
      <c r="B780" s="118">
        <v>46030.0</v>
      </c>
      <c r="C780" s="119" t="s">
        <v>66</v>
      </c>
      <c r="D780" s="119">
        <v>3.2</v>
      </c>
      <c r="E780" s="119" t="s">
        <v>1073</v>
      </c>
      <c r="F780" s="119" t="s">
        <v>1081</v>
      </c>
    </row>
    <row r="781" ht="22.5" customHeight="1">
      <c r="A781" s="117">
        <v>46030.622948425924</v>
      </c>
      <c r="B781" s="118">
        <v>46030.0</v>
      </c>
      <c r="C781" s="119" t="s">
        <v>438</v>
      </c>
      <c r="D781" s="119">
        <v>0.7434</v>
      </c>
      <c r="E781" s="119" t="s">
        <v>1073</v>
      </c>
      <c r="F781" s="119" t="s">
        <v>1081</v>
      </c>
    </row>
    <row r="782" ht="22.5" customHeight="1">
      <c r="A782" s="117">
        <v>46030.67788041667</v>
      </c>
      <c r="B782" s="118">
        <v>46030.0</v>
      </c>
      <c r="C782" s="119" t="s">
        <v>831</v>
      </c>
      <c r="D782" s="119">
        <v>40.0</v>
      </c>
      <c r="E782" s="119" t="s">
        <v>687</v>
      </c>
      <c r="F782" s="119" t="s">
        <v>1081</v>
      </c>
    </row>
    <row r="783" ht="22.5" customHeight="1">
      <c r="A783" s="117">
        <v>46030.7031408912</v>
      </c>
      <c r="B783" s="118">
        <v>46030.0</v>
      </c>
      <c r="C783" s="119" t="s">
        <v>177</v>
      </c>
      <c r="D783" s="119">
        <v>6.0</v>
      </c>
      <c r="E783" s="119" t="s">
        <v>1073</v>
      </c>
      <c r="F783" s="119" t="s">
        <v>1090</v>
      </c>
    </row>
    <row r="784" ht="22.5" customHeight="1">
      <c r="A784" s="117">
        <v>46030.70382310185</v>
      </c>
      <c r="B784" s="118">
        <v>46030.0</v>
      </c>
      <c r="C784" s="119" t="s">
        <v>476</v>
      </c>
      <c r="D784" s="119">
        <v>5.1</v>
      </c>
      <c r="E784" s="119" t="s">
        <v>1073</v>
      </c>
      <c r="F784" s="119" t="s">
        <v>1084</v>
      </c>
    </row>
    <row r="785" ht="22.5" customHeight="1">
      <c r="A785" s="117">
        <v>46030.7041809838</v>
      </c>
      <c r="B785" s="118">
        <v>46030.0</v>
      </c>
      <c r="C785" s="119" t="s">
        <v>532</v>
      </c>
      <c r="D785" s="119">
        <v>3.0</v>
      </c>
      <c r="E785" s="119" t="s">
        <v>562</v>
      </c>
      <c r="F785" s="119" t="s">
        <v>1084</v>
      </c>
    </row>
    <row r="786" ht="22.5" customHeight="1">
      <c r="A786" s="117">
        <v>46031.44162693287</v>
      </c>
      <c r="B786" s="118">
        <v>46031.0</v>
      </c>
      <c r="C786" s="119" t="s">
        <v>191</v>
      </c>
      <c r="D786" s="119">
        <v>1.0</v>
      </c>
      <c r="E786" s="119" t="s">
        <v>1073</v>
      </c>
      <c r="F786" s="119" t="s">
        <v>1076</v>
      </c>
    </row>
    <row r="787" ht="22.5" customHeight="1">
      <c r="A787" s="117">
        <v>46031.47707137732</v>
      </c>
      <c r="B787" s="118">
        <v>46031.0</v>
      </c>
      <c r="C787" s="119" t="s">
        <v>823</v>
      </c>
      <c r="D787" s="119">
        <v>78.0</v>
      </c>
      <c r="E787" s="119" t="s">
        <v>687</v>
      </c>
      <c r="F787" s="119" t="s">
        <v>1081</v>
      </c>
    </row>
    <row r="788" ht="22.5" customHeight="1">
      <c r="A788" s="117">
        <v>46031.477450011575</v>
      </c>
      <c r="B788" s="118">
        <v>46031.0</v>
      </c>
      <c r="C788" s="119" t="s">
        <v>45</v>
      </c>
      <c r="D788" s="119">
        <v>0.02</v>
      </c>
      <c r="E788" s="119" t="s">
        <v>1073</v>
      </c>
      <c r="F788" s="119" t="s">
        <v>1081</v>
      </c>
    </row>
    <row r="789" ht="22.5" customHeight="1">
      <c r="A789" s="117">
        <v>46031.47790315972</v>
      </c>
      <c r="B789" s="118">
        <v>46031.0</v>
      </c>
      <c r="C789" s="119" t="s">
        <v>831</v>
      </c>
      <c r="D789" s="119">
        <v>1.0</v>
      </c>
      <c r="E789" s="119" t="s">
        <v>687</v>
      </c>
      <c r="F789" s="119" t="s">
        <v>1081</v>
      </c>
    </row>
    <row r="790" ht="22.5" customHeight="1">
      <c r="A790" s="117">
        <v>46031.71627153935</v>
      </c>
      <c r="B790" s="118">
        <v>46031.0</v>
      </c>
      <c r="C790" s="119" t="s">
        <v>177</v>
      </c>
      <c r="D790" s="119">
        <v>25.0</v>
      </c>
      <c r="E790" s="119" t="s">
        <v>1073</v>
      </c>
      <c r="F790" s="119" t="s">
        <v>1076</v>
      </c>
    </row>
    <row r="791" ht="22.5" customHeight="1">
      <c r="A791" s="117">
        <v>46031.71670123843</v>
      </c>
      <c r="B791" s="118">
        <v>46031.0</v>
      </c>
      <c r="C791" s="119" t="s">
        <v>177</v>
      </c>
      <c r="D791" s="119">
        <v>15.0</v>
      </c>
      <c r="E791" s="119" t="s">
        <v>1073</v>
      </c>
      <c r="F791" s="119" t="s">
        <v>1090</v>
      </c>
    </row>
    <row r="792" ht="22.5" customHeight="1">
      <c r="A792" s="117">
        <v>46034.48090462963</v>
      </c>
      <c r="B792" s="118">
        <v>46034.0</v>
      </c>
      <c r="C792" s="119" t="s">
        <v>191</v>
      </c>
      <c r="D792" s="119">
        <v>0.5</v>
      </c>
      <c r="E792" s="119" t="s">
        <v>1073</v>
      </c>
      <c r="F792" s="119" t="s">
        <v>1090</v>
      </c>
    </row>
    <row r="793" ht="22.5" customHeight="1">
      <c r="A793" s="117">
        <v>46034.48215953704</v>
      </c>
      <c r="B793" s="118">
        <v>46034.0</v>
      </c>
      <c r="C793" s="119" t="s">
        <v>331</v>
      </c>
      <c r="D793" s="119">
        <v>35.0</v>
      </c>
      <c r="E793" s="119" t="s">
        <v>1073</v>
      </c>
      <c r="F793" s="119" t="s">
        <v>1090</v>
      </c>
    </row>
    <row r="794" ht="22.5" customHeight="1">
      <c r="A794" s="117">
        <v>46034.56216778935</v>
      </c>
      <c r="B794" s="118">
        <v>46034.0</v>
      </c>
      <c r="C794" s="119" t="s">
        <v>59</v>
      </c>
      <c r="D794" s="119">
        <v>30.0106</v>
      </c>
      <c r="E794" s="119" t="s">
        <v>1073</v>
      </c>
      <c r="F794" s="119" t="s">
        <v>1079</v>
      </c>
    </row>
    <row r="795" ht="22.5" customHeight="1">
      <c r="A795" s="117">
        <v>46034.56258854167</v>
      </c>
      <c r="B795" s="118">
        <v>46034.0</v>
      </c>
      <c r="C795" s="119" t="s">
        <v>519</v>
      </c>
      <c r="D795" s="119">
        <v>5.0014</v>
      </c>
      <c r="E795" s="119" t="s">
        <v>1073</v>
      </c>
      <c r="F795" s="119" t="s">
        <v>1079</v>
      </c>
    </row>
    <row r="796" ht="22.5" customHeight="1">
      <c r="A796" s="117">
        <v>46034.563083333334</v>
      </c>
      <c r="B796" s="118">
        <v>46034.0</v>
      </c>
      <c r="C796" s="119" t="s">
        <v>142</v>
      </c>
      <c r="D796" s="119">
        <v>1.0003</v>
      </c>
      <c r="E796" s="119" t="s">
        <v>1073</v>
      </c>
      <c r="F796" s="119" t="s">
        <v>1079</v>
      </c>
    </row>
    <row r="797" ht="22.5" customHeight="1">
      <c r="A797" s="117">
        <v>46034.56340946759</v>
      </c>
      <c r="B797" s="118">
        <v>46034.0</v>
      </c>
      <c r="C797" s="119" t="s">
        <v>862</v>
      </c>
      <c r="D797" s="119">
        <v>20.0</v>
      </c>
      <c r="E797" s="119" t="s">
        <v>687</v>
      </c>
      <c r="F797" s="119" t="s">
        <v>1079</v>
      </c>
    </row>
    <row r="798" ht="22.5" customHeight="1">
      <c r="A798" s="117">
        <v>46034.66460695602</v>
      </c>
      <c r="B798" s="118">
        <v>46034.0</v>
      </c>
      <c r="C798" s="119" t="s">
        <v>177</v>
      </c>
      <c r="D798" s="119">
        <v>3.0</v>
      </c>
      <c r="E798" s="119" t="s">
        <v>1073</v>
      </c>
      <c r="F798" s="119" t="s">
        <v>1079</v>
      </c>
    </row>
    <row r="799" ht="22.5" customHeight="1">
      <c r="A799" s="117">
        <v>46034.68268653935</v>
      </c>
      <c r="B799" s="118">
        <v>46034.0</v>
      </c>
      <c r="C799" s="119" t="s">
        <v>850</v>
      </c>
      <c r="D799" s="119">
        <v>75.0</v>
      </c>
      <c r="E799" s="119" t="s">
        <v>1073</v>
      </c>
      <c r="F799" s="119" t="s">
        <v>1090</v>
      </c>
    </row>
    <row r="800" ht="22.5" customHeight="1">
      <c r="A800" s="117">
        <v>46034.68377372685</v>
      </c>
      <c r="B800" s="118">
        <v>46034.0</v>
      </c>
      <c r="C800" s="119" t="s">
        <v>177</v>
      </c>
      <c r="D800" s="119">
        <v>16.0</v>
      </c>
      <c r="E800" s="119" t="s">
        <v>1073</v>
      </c>
      <c r="F800" s="119" t="s">
        <v>1090</v>
      </c>
    </row>
    <row r="801" ht="22.5" customHeight="1">
      <c r="A801" s="117">
        <v>46034.685173460646</v>
      </c>
      <c r="B801" s="118">
        <v>46034.0</v>
      </c>
      <c r="C801" s="119" t="s">
        <v>177</v>
      </c>
      <c r="D801" s="119">
        <v>4.0</v>
      </c>
      <c r="E801" s="119" t="s">
        <v>1073</v>
      </c>
      <c r="F801" s="119" t="s">
        <v>1076</v>
      </c>
    </row>
    <row r="802" ht="22.5" customHeight="1">
      <c r="A802" s="117">
        <v>46034.68548482639</v>
      </c>
      <c r="B802" s="118">
        <v>46034.0</v>
      </c>
      <c r="C802" s="119" t="s">
        <v>59</v>
      </c>
      <c r="D802" s="119">
        <v>30.0</v>
      </c>
      <c r="E802" s="119" t="s">
        <v>1073</v>
      </c>
      <c r="F802" s="119" t="s">
        <v>1076</v>
      </c>
    </row>
    <row r="803" ht="22.5" customHeight="1">
      <c r="A803" s="117">
        <v>46034.68581322917</v>
      </c>
      <c r="B803" s="118">
        <v>46034.0</v>
      </c>
      <c r="C803" s="119" t="s">
        <v>519</v>
      </c>
      <c r="D803" s="119">
        <v>5.0</v>
      </c>
      <c r="E803" s="119" t="s">
        <v>1073</v>
      </c>
      <c r="F803" s="119" t="s">
        <v>1076</v>
      </c>
    </row>
    <row r="804" ht="22.5" customHeight="1">
      <c r="A804" s="117">
        <v>46034.6861440162</v>
      </c>
      <c r="B804" s="118">
        <v>46034.0</v>
      </c>
      <c r="C804" s="119" t="s">
        <v>142</v>
      </c>
      <c r="D804" s="119">
        <v>1.0</v>
      </c>
      <c r="E804" s="119" t="s">
        <v>1073</v>
      </c>
      <c r="F804" s="119" t="s">
        <v>1076</v>
      </c>
    </row>
    <row r="805" ht="22.5" customHeight="1">
      <c r="A805" s="117">
        <v>46034.6864304051</v>
      </c>
      <c r="B805" s="118">
        <v>46034.0</v>
      </c>
      <c r="C805" s="119" t="s">
        <v>331</v>
      </c>
      <c r="D805" s="119">
        <v>0.012</v>
      </c>
      <c r="E805" s="119" t="s">
        <v>1073</v>
      </c>
      <c r="F805" s="119" t="s">
        <v>1076</v>
      </c>
    </row>
    <row r="806" ht="22.5" customHeight="1">
      <c r="A806" s="117">
        <v>46034.68672574074</v>
      </c>
      <c r="B806" s="118">
        <v>46034.0</v>
      </c>
      <c r="C806" s="119" t="s">
        <v>862</v>
      </c>
      <c r="D806" s="119">
        <v>20.0</v>
      </c>
      <c r="E806" s="119" t="s">
        <v>687</v>
      </c>
      <c r="F806" s="119" t="s">
        <v>1076</v>
      </c>
    </row>
    <row r="807" ht="22.5" customHeight="1">
      <c r="A807" s="117">
        <v>46035.307683217594</v>
      </c>
      <c r="B807" s="118">
        <v>46034.0</v>
      </c>
      <c r="C807" s="119" t="s">
        <v>155</v>
      </c>
      <c r="D807" s="119">
        <v>3.0</v>
      </c>
      <c r="E807" s="119" t="s">
        <v>1073</v>
      </c>
      <c r="F807" s="119" t="s">
        <v>1081</v>
      </c>
    </row>
    <row r="808" ht="22.5" customHeight="1">
      <c r="A808" s="117">
        <v>46035.308241736115</v>
      </c>
      <c r="B808" s="118">
        <v>46034.0</v>
      </c>
      <c r="C808" s="119" t="s">
        <v>464</v>
      </c>
      <c r="D808" s="119">
        <v>12.0</v>
      </c>
      <c r="E808" s="119" t="s">
        <v>1073</v>
      </c>
      <c r="F808" s="119" t="s">
        <v>1081</v>
      </c>
    </row>
    <row r="809" ht="22.5" customHeight="1">
      <c r="A809" s="117">
        <v>46035.308679444446</v>
      </c>
      <c r="B809" s="118">
        <v>46034.0</v>
      </c>
      <c r="C809" s="119" t="s">
        <v>66</v>
      </c>
      <c r="D809" s="119">
        <v>1.6</v>
      </c>
      <c r="E809" s="119" t="s">
        <v>1073</v>
      </c>
      <c r="F809" s="119" t="s">
        <v>1081</v>
      </c>
    </row>
    <row r="810" ht="22.5" customHeight="1">
      <c r="A810" s="117">
        <v>46035.30911484954</v>
      </c>
      <c r="B810" s="118">
        <v>46034.0</v>
      </c>
      <c r="C810" s="119" t="s">
        <v>438</v>
      </c>
      <c r="D810" s="119">
        <v>0.3173</v>
      </c>
      <c r="E810" s="119" t="s">
        <v>1073</v>
      </c>
      <c r="F810" s="119" t="s">
        <v>1081</v>
      </c>
    </row>
    <row r="811" ht="22.5" customHeight="1">
      <c r="A811" s="117">
        <v>46035.30964798611</v>
      </c>
      <c r="B811" s="118">
        <v>46034.0</v>
      </c>
      <c r="C811" s="119" t="s">
        <v>831</v>
      </c>
      <c r="D811" s="119">
        <v>55.0</v>
      </c>
      <c r="E811" s="119" t="s">
        <v>687</v>
      </c>
      <c r="F811" s="119" t="s">
        <v>1081</v>
      </c>
    </row>
    <row r="812" ht="22.5" customHeight="1">
      <c r="A812" s="117">
        <v>46035.31005752315</v>
      </c>
      <c r="B812" s="118">
        <v>46034.0</v>
      </c>
      <c r="C812" s="119" t="s">
        <v>155</v>
      </c>
      <c r="D812" s="119">
        <v>9.0</v>
      </c>
      <c r="E812" s="119" t="s">
        <v>1073</v>
      </c>
      <c r="F812" s="119" t="s">
        <v>1081</v>
      </c>
    </row>
    <row r="813" ht="22.5" customHeight="1">
      <c r="A813" s="117">
        <v>46035.31087209491</v>
      </c>
      <c r="B813" s="118">
        <v>46034.0</v>
      </c>
      <c r="C813" s="119" t="s">
        <v>267</v>
      </c>
      <c r="D813" s="119">
        <v>0.3</v>
      </c>
      <c r="E813" s="119" t="s">
        <v>1073</v>
      </c>
      <c r="F813" s="119" t="s">
        <v>1081</v>
      </c>
    </row>
    <row r="814" ht="22.5" customHeight="1">
      <c r="A814" s="117">
        <v>46035.312354062495</v>
      </c>
      <c r="B814" s="118">
        <v>46034.0</v>
      </c>
      <c r="C814" s="119" t="s">
        <v>951</v>
      </c>
      <c r="D814" s="119">
        <v>1.32</v>
      </c>
      <c r="E814" s="119" t="s">
        <v>687</v>
      </c>
      <c r="F814" s="119" t="s">
        <v>1081</v>
      </c>
    </row>
    <row r="815" ht="22.5" customHeight="1">
      <c r="A815" s="117">
        <v>46035.313200081015</v>
      </c>
      <c r="B815" s="118">
        <v>46034.0</v>
      </c>
      <c r="C815" s="119" t="s">
        <v>135</v>
      </c>
      <c r="D815" s="119">
        <v>0.51</v>
      </c>
      <c r="E815" s="119" t="s">
        <v>1073</v>
      </c>
      <c r="F815" s="119" t="s">
        <v>1081</v>
      </c>
    </row>
    <row r="816" ht="22.5" customHeight="1">
      <c r="A816" s="117">
        <v>46035.46421902778</v>
      </c>
      <c r="B816" s="118">
        <v>46035.0</v>
      </c>
      <c r="C816" s="119" t="s">
        <v>191</v>
      </c>
      <c r="D816" s="119">
        <v>1.0</v>
      </c>
      <c r="E816" s="119" t="s">
        <v>1073</v>
      </c>
      <c r="F816" s="119" t="s">
        <v>1076</v>
      </c>
    </row>
    <row r="817" ht="22.5" customHeight="1">
      <c r="A817" s="117">
        <v>46035.465822025464</v>
      </c>
      <c r="B817" s="118">
        <v>46035.0</v>
      </c>
      <c r="C817" s="119" t="s">
        <v>850</v>
      </c>
      <c r="D817" s="119">
        <v>300.0</v>
      </c>
      <c r="E817" s="119" t="s">
        <v>687</v>
      </c>
      <c r="F817" s="119" t="s">
        <v>1076</v>
      </c>
    </row>
    <row r="818" ht="22.5" customHeight="1">
      <c r="A818" s="117">
        <v>46035.46655278935</v>
      </c>
      <c r="B818" s="118">
        <v>46035.0</v>
      </c>
      <c r="C818" s="119" t="s">
        <v>331</v>
      </c>
      <c r="D818" s="119">
        <v>32.0</v>
      </c>
      <c r="E818" s="119" t="s">
        <v>1073</v>
      </c>
      <c r="F818" s="119" t="s">
        <v>1076</v>
      </c>
    </row>
    <row r="819" ht="22.5" customHeight="1">
      <c r="A819" s="117">
        <v>46035.58236305555</v>
      </c>
      <c r="B819" s="118">
        <v>46035.0</v>
      </c>
      <c r="C819" s="119" t="s">
        <v>582</v>
      </c>
      <c r="D819" s="119">
        <v>3.2</v>
      </c>
      <c r="E819" s="119" t="s">
        <v>1073</v>
      </c>
      <c r="F819" s="119" t="s">
        <v>1076</v>
      </c>
    </row>
    <row r="820" ht="22.5" customHeight="1">
      <c r="A820" s="117">
        <v>46035.67812167824</v>
      </c>
      <c r="B820" s="118">
        <v>46035.0</v>
      </c>
      <c r="C820" s="119" t="s">
        <v>470</v>
      </c>
      <c r="D820" s="119">
        <v>8.003</v>
      </c>
      <c r="E820" s="119" t="s">
        <v>1073</v>
      </c>
      <c r="F820" s="119" t="s">
        <v>1084</v>
      </c>
    </row>
    <row r="821" ht="22.5" customHeight="1">
      <c r="A821" s="117">
        <v>46035.67873810185</v>
      </c>
      <c r="B821" s="118">
        <v>46035.0</v>
      </c>
      <c r="C821" s="119" t="s">
        <v>476</v>
      </c>
      <c r="D821" s="119">
        <v>5.104</v>
      </c>
      <c r="E821" s="119" t="s">
        <v>1073</v>
      </c>
      <c r="F821" s="119" t="s">
        <v>1084</v>
      </c>
    </row>
    <row r="822" ht="22.5" customHeight="1">
      <c r="A822" s="117">
        <v>46036.314562245374</v>
      </c>
      <c r="B822" s="118">
        <v>46035.0</v>
      </c>
      <c r="C822" s="119" t="s">
        <v>155</v>
      </c>
      <c r="D822" s="119">
        <v>3.5</v>
      </c>
      <c r="E822" s="119" t="s">
        <v>1073</v>
      </c>
      <c r="F822" s="119" t="s">
        <v>1081</v>
      </c>
    </row>
    <row r="823" ht="22.5" customHeight="1">
      <c r="A823" s="117">
        <v>46036.315151215276</v>
      </c>
      <c r="B823" s="118">
        <v>46035.0</v>
      </c>
      <c r="C823" s="119" t="s">
        <v>464</v>
      </c>
      <c r="D823" s="119">
        <v>14.0</v>
      </c>
      <c r="E823" s="119" t="s">
        <v>1073</v>
      </c>
      <c r="F823" s="119" t="s">
        <v>1081</v>
      </c>
    </row>
    <row r="824" ht="22.5" customHeight="1">
      <c r="A824" s="117">
        <v>46036.31583380787</v>
      </c>
      <c r="B824" s="118">
        <v>46035.0</v>
      </c>
      <c r="C824" s="119" t="s">
        <v>831</v>
      </c>
      <c r="D824" s="119">
        <v>34.5</v>
      </c>
      <c r="E824" s="119" t="s">
        <v>687</v>
      </c>
      <c r="F824" s="119" t="s">
        <v>1081</v>
      </c>
    </row>
    <row r="825" ht="22.5" customHeight="1">
      <c r="A825" s="117">
        <v>46036.31656219908</v>
      </c>
      <c r="B825" s="118">
        <v>46035.0</v>
      </c>
      <c r="C825" s="119" t="s">
        <v>551</v>
      </c>
      <c r="D825" s="119">
        <v>10.0</v>
      </c>
      <c r="E825" s="119" t="s">
        <v>1073</v>
      </c>
      <c r="F825" s="119" t="s">
        <v>1081</v>
      </c>
    </row>
    <row r="826" ht="22.5" customHeight="1">
      <c r="A826" s="117">
        <v>46036.31700472222</v>
      </c>
      <c r="B826" s="118">
        <v>46035.0</v>
      </c>
      <c r="C826" s="119" t="s">
        <v>831</v>
      </c>
      <c r="D826" s="119">
        <v>50.0</v>
      </c>
      <c r="E826" s="119" t="s">
        <v>687</v>
      </c>
      <c r="F826" s="119" t="s">
        <v>1081</v>
      </c>
    </row>
    <row r="827" ht="22.5" customHeight="1">
      <c r="A827" s="117">
        <v>46036.40103140046</v>
      </c>
      <c r="B827" s="118">
        <v>46036.0</v>
      </c>
      <c r="C827" s="119" t="s">
        <v>38</v>
      </c>
      <c r="D827" s="119">
        <v>15.0345</v>
      </c>
      <c r="E827" s="119" t="s">
        <v>1073</v>
      </c>
      <c r="F827" s="119" t="s">
        <v>1090</v>
      </c>
    </row>
    <row r="828" ht="22.5" customHeight="1">
      <c r="A828" s="117">
        <v>46036.40134835648</v>
      </c>
      <c r="B828" s="118">
        <v>46036.0</v>
      </c>
      <c r="C828" s="119" t="s">
        <v>576</v>
      </c>
      <c r="D828" s="119">
        <v>15.0293</v>
      </c>
      <c r="E828" s="119" t="s">
        <v>1073</v>
      </c>
      <c r="F828" s="119" t="s">
        <v>1090</v>
      </c>
    </row>
    <row r="829" ht="22.5" customHeight="1">
      <c r="A829" s="117">
        <v>46036.40166690972</v>
      </c>
      <c r="B829" s="118">
        <v>46036.0</v>
      </c>
      <c r="C829" s="119" t="s">
        <v>356</v>
      </c>
      <c r="D829" s="119">
        <v>1.0042</v>
      </c>
      <c r="E829" s="119" t="s">
        <v>1073</v>
      </c>
      <c r="F829" s="119" t="s">
        <v>1090</v>
      </c>
    </row>
    <row r="830" ht="22.5" customHeight="1">
      <c r="A830" s="117">
        <v>46036.69006317129</v>
      </c>
      <c r="B830" s="118">
        <v>46036.0</v>
      </c>
      <c r="C830" s="119" t="s">
        <v>532</v>
      </c>
      <c r="D830" s="119">
        <v>3.0</v>
      </c>
      <c r="E830" s="119" t="s">
        <v>562</v>
      </c>
      <c r="F830" s="119" t="s">
        <v>1084</v>
      </c>
    </row>
    <row r="831" ht="22.5" customHeight="1">
      <c r="A831" s="117">
        <v>46036.69075739583</v>
      </c>
      <c r="B831" s="118">
        <v>46036.0</v>
      </c>
      <c r="C831" s="119" t="s">
        <v>566</v>
      </c>
      <c r="D831" s="119">
        <v>3.0</v>
      </c>
      <c r="E831" s="119" t="s">
        <v>562</v>
      </c>
      <c r="F831" s="119" t="s">
        <v>1084</v>
      </c>
    </row>
    <row r="832" ht="22.5" customHeight="1">
      <c r="A832" s="117">
        <v>46036.69133246528</v>
      </c>
      <c r="B832" s="118">
        <v>46036.0</v>
      </c>
      <c r="C832" s="119" t="s">
        <v>572</v>
      </c>
      <c r="D832" s="119">
        <v>3.0</v>
      </c>
      <c r="E832" s="119" t="s">
        <v>562</v>
      </c>
      <c r="F832" s="119" t="s">
        <v>1084</v>
      </c>
    </row>
    <row r="833" ht="22.5" customHeight="1">
      <c r="A833" s="117">
        <v>46037.32559943287</v>
      </c>
      <c r="B833" s="118">
        <v>46036.0</v>
      </c>
      <c r="C833" s="119" t="s">
        <v>155</v>
      </c>
      <c r="D833" s="119">
        <v>3.5</v>
      </c>
      <c r="E833" s="119" t="s">
        <v>1073</v>
      </c>
      <c r="F833" s="119" t="s">
        <v>1081</v>
      </c>
    </row>
    <row r="834" ht="22.5" customHeight="1">
      <c r="A834" s="117">
        <v>46037.32611047453</v>
      </c>
      <c r="B834" s="118">
        <v>46036.0</v>
      </c>
      <c r="C834" s="119" t="s">
        <v>831</v>
      </c>
      <c r="D834" s="119">
        <v>70.0</v>
      </c>
      <c r="E834" s="119" t="s">
        <v>687</v>
      </c>
      <c r="F834" s="119" t="s">
        <v>1081</v>
      </c>
    </row>
    <row r="835" ht="22.5" customHeight="1">
      <c r="A835" s="117">
        <v>46037.32670371528</v>
      </c>
      <c r="B835" s="118">
        <v>46036.0</v>
      </c>
      <c r="C835" s="119" t="s">
        <v>464</v>
      </c>
      <c r="D835" s="119">
        <v>14.0</v>
      </c>
      <c r="E835" s="119" t="s">
        <v>1073</v>
      </c>
      <c r="F835" s="119" t="s">
        <v>1081</v>
      </c>
    </row>
    <row r="836" ht="22.5" customHeight="1">
      <c r="A836" s="117">
        <v>46037.32736072916</v>
      </c>
      <c r="B836" s="118">
        <v>46036.0</v>
      </c>
      <c r="C836" s="119" t="s">
        <v>588</v>
      </c>
      <c r="D836" s="119">
        <v>60.0</v>
      </c>
      <c r="E836" s="119" t="s">
        <v>1073</v>
      </c>
      <c r="F836" s="119" t="s">
        <v>1081</v>
      </c>
    </row>
    <row r="837" ht="22.5" customHeight="1">
      <c r="A837" s="117">
        <v>46037.32795464121</v>
      </c>
      <c r="B837" s="118">
        <v>46036.0</v>
      </c>
      <c r="C837" s="119" t="s">
        <v>551</v>
      </c>
      <c r="D837" s="119">
        <v>2.0</v>
      </c>
      <c r="E837" s="119" t="s">
        <v>1073</v>
      </c>
      <c r="F837" s="119" t="s">
        <v>1081</v>
      </c>
    </row>
    <row r="838" ht="22.5" customHeight="1">
      <c r="A838" s="117">
        <v>46037.70686534722</v>
      </c>
      <c r="B838" s="118">
        <v>46037.0</v>
      </c>
      <c r="C838" s="119" t="s">
        <v>739</v>
      </c>
      <c r="D838" s="119">
        <v>3.5</v>
      </c>
      <c r="E838" s="119" t="s">
        <v>687</v>
      </c>
      <c r="F838" s="119" t="s">
        <v>1090</v>
      </c>
    </row>
    <row r="839" ht="22.5" customHeight="1">
      <c r="A839" s="117">
        <v>46037.70699152778</v>
      </c>
      <c r="B839" s="118">
        <v>46037.0</v>
      </c>
      <c r="C839" s="119" t="s">
        <v>204</v>
      </c>
      <c r="D839" s="119">
        <v>1.3</v>
      </c>
      <c r="E839" s="119" t="s">
        <v>1073</v>
      </c>
      <c r="F839" s="119" t="s">
        <v>1076</v>
      </c>
    </row>
    <row r="840" ht="22.5" customHeight="1">
      <c r="A840" s="117">
        <v>46037.7071231713</v>
      </c>
      <c r="B840" s="118">
        <v>46037.0</v>
      </c>
      <c r="C840" s="119" t="s">
        <v>763</v>
      </c>
      <c r="D840" s="119">
        <v>3.5</v>
      </c>
      <c r="E840" s="119" t="s">
        <v>687</v>
      </c>
      <c r="F840" s="119" t="s">
        <v>1090</v>
      </c>
    </row>
    <row r="841" ht="22.5" customHeight="1">
      <c r="A841" s="117">
        <v>46037.70748505787</v>
      </c>
      <c r="B841" s="118">
        <v>46037.0</v>
      </c>
      <c r="C841" s="119" t="s">
        <v>115</v>
      </c>
      <c r="D841" s="119">
        <v>0.048</v>
      </c>
      <c r="E841" s="119" t="s">
        <v>1073</v>
      </c>
      <c r="F841" s="119" t="s">
        <v>1076</v>
      </c>
    </row>
    <row r="842" ht="22.5" customHeight="1">
      <c r="A842" s="117">
        <v>46037.7075937037</v>
      </c>
      <c r="B842" s="118">
        <v>46037.0</v>
      </c>
      <c r="C842" s="119" t="s">
        <v>817</v>
      </c>
      <c r="D842" s="119">
        <v>162.5</v>
      </c>
      <c r="E842" s="119" t="s">
        <v>687</v>
      </c>
      <c r="F842" s="119" t="s">
        <v>1090</v>
      </c>
    </row>
    <row r="843" ht="22.5" customHeight="1">
      <c r="A843" s="117">
        <v>46037.70784949074</v>
      </c>
      <c r="B843" s="118">
        <v>46037.0</v>
      </c>
      <c r="C843" s="119" t="s">
        <v>823</v>
      </c>
      <c r="D843" s="119">
        <v>24.0</v>
      </c>
      <c r="E843" s="119" t="s">
        <v>687</v>
      </c>
      <c r="F843" s="119" t="s">
        <v>1076</v>
      </c>
    </row>
    <row r="844" ht="22.5" customHeight="1">
      <c r="A844" s="117">
        <v>46037.7085934375</v>
      </c>
      <c r="B844" s="118">
        <v>46037.0</v>
      </c>
      <c r="C844" s="119" t="s">
        <v>856</v>
      </c>
      <c r="D844" s="119">
        <v>200.0</v>
      </c>
      <c r="E844" s="119" t="s">
        <v>687</v>
      </c>
      <c r="F844" s="119" t="s">
        <v>1076</v>
      </c>
    </row>
    <row r="845" ht="22.5" customHeight="1">
      <c r="A845" s="117">
        <v>46037.70915292824</v>
      </c>
      <c r="B845" s="118">
        <v>46037.0</v>
      </c>
      <c r="C845" s="119" t="s">
        <v>588</v>
      </c>
      <c r="D845" s="119">
        <v>70.0</v>
      </c>
      <c r="E845" s="119" t="s">
        <v>1073</v>
      </c>
      <c r="F845" s="119" t="s">
        <v>1098</v>
      </c>
    </row>
    <row r="846" ht="22.5" customHeight="1">
      <c r="A846" s="117">
        <v>46037.709287881946</v>
      </c>
      <c r="B846" s="118">
        <v>46036.0</v>
      </c>
      <c r="C846" s="119" t="s">
        <v>191</v>
      </c>
      <c r="D846" s="119">
        <v>0.5</v>
      </c>
      <c r="E846" s="119" t="s">
        <v>1073</v>
      </c>
      <c r="F846" s="119" t="s">
        <v>1076</v>
      </c>
    </row>
    <row r="847" ht="22.5" customHeight="1">
      <c r="A847" s="117">
        <v>46037.70936631944</v>
      </c>
      <c r="B847" s="118">
        <v>46037.0</v>
      </c>
      <c r="C847" s="119" t="s">
        <v>551</v>
      </c>
      <c r="D847" s="119">
        <v>5.7</v>
      </c>
      <c r="E847" s="119" t="s">
        <v>1073</v>
      </c>
      <c r="F847" s="119" t="s">
        <v>1098</v>
      </c>
    </row>
    <row r="848" ht="22.5" customHeight="1">
      <c r="A848" s="117">
        <v>46037.70951540509</v>
      </c>
      <c r="B848" s="118">
        <v>46036.0</v>
      </c>
      <c r="C848" s="119" t="s">
        <v>274</v>
      </c>
      <c r="D848" s="119">
        <v>8.0</v>
      </c>
      <c r="E848" s="119" t="s">
        <v>1073</v>
      </c>
      <c r="F848" s="119" t="s">
        <v>1076</v>
      </c>
    </row>
    <row r="849" ht="22.5" customHeight="1">
      <c r="A849" s="117">
        <v>46037.70996622685</v>
      </c>
      <c r="B849" s="118">
        <v>46037.0</v>
      </c>
      <c r="C849" s="119" t="s">
        <v>1024</v>
      </c>
      <c r="D849" s="119">
        <v>0.5</v>
      </c>
      <c r="E849" s="119" t="s">
        <v>687</v>
      </c>
      <c r="F849" s="119" t="s">
        <v>1076</v>
      </c>
    </row>
    <row r="850" ht="22.5" customHeight="1">
      <c r="A850" s="117">
        <v>46037.710049189816</v>
      </c>
      <c r="B850" s="118">
        <v>46037.0</v>
      </c>
      <c r="C850" s="119" t="s">
        <v>831</v>
      </c>
      <c r="D850" s="119">
        <v>85.0</v>
      </c>
      <c r="E850" s="119" t="s">
        <v>687</v>
      </c>
      <c r="F850" s="119" t="s">
        <v>1098</v>
      </c>
    </row>
    <row r="851" ht="22.5" customHeight="1">
      <c r="A851" s="117">
        <v>46037.710247407405</v>
      </c>
      <c r="B851" s="118">
        <v>46037.0</v>
      </c>
      <c r="C851" s="119" t="s">
        <v>1018</v>
      </c>
      <c r="D851" s="119">
        <v>0.5</v>
      </c>
      <c r="E851" s="119" t="s">
        <v>687</v>
      </c>
      <c r="F851" s="119" t="s">
        <v>1076</v>
      </c>
    </row>
    <row r="852" ht="22.5" customHeight="1">
      <c r="A852" s="117">
        <v>46037.71034168982</v>
      </c>
      <c r="B852" s="118">
        <v>46037.0</v>
      </c>
      <c r="C852" s="119" t="s">
        <v>155</v>
      </c>
      <c r="D852" s="119">
        <v>3.5</v>
      </c>
      <c r="E852" s="119" t="s">
        <v>1073</v>
      </c>
      <c r="F852" s="119" t="s">
        <v>1098</v>
      </c>
    </row>
    <row r="853" ht="22.5" customHeight="1">
      <c r="A853" s="117">
        <v>46037.710549456024</v>
      </c>
      <c r="B853" s="118">
        <v>46037.0</v>
      </c>
      <c r="C853" s="119" t="s">
        <v>464</v>
      </c>
      <c r="D853" s="119">
        <v>14.0</v>
      </c>
      <c r="E853" s="119" t="s">
        <v>1073</v>
      </c>
      <c r="F853" s="119" t="s">
        <v>1098</v>
      </c>
    </row>
    <row r="854" ht="22.5" customHeight="1">
      <c r="A854" s="117">
        <v>46037.71055645833</v>
      </c>
      <c r="B854" s="118">
        <v>46037.0</v>
      </c>
      <c r="C854" s="119" t="s">
        <v>1037</v>
      </c>
      <c r="D854" s="119">
        <v>0.5</v>
      </c>
      <c r="E854" s="119" t="s">
        <v>687</v>
      </c>
      <c r="F854" s="119" t="s">
        <v>1076</v>
      </c>
    </row>
    <row r="855" ht="22.5" customHeight="1">
      <c r="A855" s="117">
        <v>46037.710755486114</v>
      </c>
      <c r="B855" s="118">
        <v>46037.0</v>
      </c>
      <c r="C855" s="119" t="s">
        <v>817</v>
      </c>
      <c r="D855" s="119">
        <v>6.3</v>
      </c>
      <c r="E855" s="119" t="s">
        <v>687</v>
      </c>
      <c r="F855" s="119" t="s">
        <v>1098</v>
      </c>
    </row>
    <row r="856" ht="22.5" customHeight="1">
      <c r="A856" s="117">
        <v>46037.71102902778</v>
      </c>
      <c r="B856" s="118">
        <v>46037.0</v>
      </c>
      <c r="C856" s="119" t="s">
        <v>823</v>
      </c>
      <c r="D856" s="119">
        <v>100.0</v>
      </c>
      <c r="E856" s="119" t="s">
        <v>687</v>
      </c>
      <c r="F856" s="119" t="s">
        <v>1098</v>
      </c>
    </row>
    <row r="857" ht="22.5" customHeight="1">
      <c r="A857" s="117">
        <v>46037.71139707176</v>
      </c>
      <c r="B857" s="118">
        <v>46037.0</v>
      </c>
      <c r="C857" s="119" t="s">
        <v>837</v>
      </c>
      <c r="D857" s="119">
        <v>500.0</v>
      </c>
      <c r="E857" s="119" t="s">
        <v>687</v>
      </c>
      <c r="F857" s="119" t="s">
        <v>1098</v>
      </c>
    </row>
    <row r="858" ht="22.5" customHeight="1">
      <c r="A858" s="117">
        <v>46037.711702500004</v>
      </c>
      <c r="B858" s="118">
        <v>46037.0</v>
      </c>
      <c r="C858" s="119" t="s">
        <v>155</v>
      </c>
      <c r="D858" s="119">
        <v>10.0</v>
      </c>
      <c r="E858" s="119" t="s">
        <v>1073</v>
      </c>
      <c r="F858" s="119" t="s">
        <v>1090</v>
      </c>
    </row>
    <row r="859" ht="22.5" customHeight="1">
      <c r="A859" s="117">
        <v>46041.70066436342</v>
      </c>
      <c r="B859" s="118">
        <v>46041.0</v>
      </c>
      <c r="C859" s="119" t="s">
        <v>532</v>
      </c>
      <c r="D859" s="119">
        <v>2.0</v>
      </c>
      <c r="E859" s="119" t="s">
        <v>562</v>
      </c>
      <c r="F859" s="119" t="s">
        <v>1084</v>
      </c>
    </row>
    <row r="860" ht="22.5" customHeight="1">
      <c r="A860" s="117">
        <v>46041.70107701389</v>
      </c>
      <c r="B860" s="118">
        <v>46041.0</v>
      </c>
      <c r="C860" s="119" t="s">
        <v>566</v>
      </c>
      <c r="D860" s="119">
        <v>1.0</v>
      </c>
      <c r="E860" s="119" t="s">
        <v>562</v>
      </c>
      <c r="F860" s="119" t="s">
        <v>1084</v>
      </c>
    </row>
    <row r="861" ht="22.5" customHeight="1">
      <c r="A861" s="117">
        <v>46041.70163018518</v>
      </c>
      <c r="B861" s="118">
        <v>46041.0</v>
      </c>
      <c r="C861" s="119" t="s">
        <v>572</v>
      </c>
      <c r="D861" s="119">
        <v>1.0</v>
      </c>
      <c r="E861" s="119" t="s">
        <v>562</v>
      </c>
      <c r="F861" s="119" t="s">
        <v>1084</v>
      </c>
    </row>
    <row r="862" ht="22.5" customHeight="1">
      <c r="A862" s="117">
        <v>46042.31332983796</v>
      </c>
      <c r="B862" s="118">
        <v>46041.0</v>
      </c>
      <c r="C862" s="119" t="s">
        <v>204</v>
      </c>
      <c r="D862" s="119">
        <v>0.6</v>
      </c>
      <c r="E862" s="119" t="s">
        <v>1073</v>
      </c>
      <c r="F862" s="119" t="s">
        <v>1081</v>
      </c>
    </row>
    <row r="863" ht="22.5" customHeight="1">
      <c r="A863" s="117">
        <v>46042.3136665625</v>
      </c>
      <c r="B863" s="118">
        <v>46041.0</v>
      </c>
      <c r="C863" s="119" t="s">
        <v>115</v>
      </c>
      <c r="D863" s="119">
        <v>0.024</v>
      </c>
      <c r="E863" s="119" t="s">
        <v>1073</v>
      </c>
      <c r="F863" s="119" t="s">
        <v>1081</v>
      </c>
    </row>
    <row r="864" ht="22.5" customHeight="1">
      <c r="A864" s="117">
        <v>46042.31427180556</v>
      </c>
      <c r="B864" s="118">
        <v>46041.0</v>
      </c>
      <c r="C864" s="119" t="s">
        <v>582</v>
      </c>
      <c r="D864" s="119">
        <v>3.6</v>
      </c>
      <c r="E864" s="119" t="s">
        <v>1073</v>
      </c>
      <c r="F864" s="119" t="s">
        <v>1081</v>
      </c>
    </row>
    <row r="865" ht="22.5" customHeight="1">
      <c r="A865" s="117">
        <v>46042.31463508102</v>
      </c>
      <c r="B865" s="118">
        <v>46041.0</v>
      </c>
      <c r="C865" s="119" t="s">
        <v>588</v>
      </c>
      <c r="D865" s="119">
        <v>0.32</v>
      </c>
      <c r="E865" s="119" t="s">
        <v>1073</v>
      </c>
      <c r="F865" s="119" t="s">
        <v>1081</v>
      </c>
    </row>
    <row r="866" ht="22.5" customHeight="1">
      <c r="A866" s="117">
        <v>46042.31505789352</v>
      </c>
      <c r="B866" s="118">
        <v>46041.0</v>
      </c>
      <c r="C866" s="119" t="s">
        <v>177</v>
      </c>
      <c r="D866" s="119">
        <v>2.0</v>
      </c>
      <c r="E866" s="119" t="s">
        <v>1073</v>
      </c>
      <c r="F866" s="119" t="s">
        <v>1081</v>
      </c>
    </row>
    <row r="867" ht="22.5" customHeight="1">
      <c r="A867" s="117">
        <v>46042.315349247685</v>
      </c>
      <c r="B867" s="118">
        <v>46041.0</v>
      </c>
      <c r="C867" s="119" t="s">
        <v>823</v>
      </c>
      <c r="D867" s="119">
        <v>12.0</v>
      </c>
      <c r="E867" s="119" t="s">
        <v>687</v>
      </c>
      <c r="F867" s="119" t="s">
        <v>1081</v>
      </c>
    </row>
    <row r="868" ht="22.5" customHeight="1">
      <c r="A868" s="117">
        <v>46042.31579865741</v>
      </c>
      <c r="B868" s="118">
        <v>46041.0</v>
      </c>
      <c r="C868" s="119" t="s">
        <v>191</v>
      </c>
      <c r="D868" s="119">
        <v>0.5</v>
      </c>
      <c r="E868" s="119" t="s">
        <v>1073</v>
      </c>
      <c r="F868" s="119" t="s">
        <v>1081</v>
      </c>
    </row>
    <row r="869" ht="22.5" customHeight="1">
      <c r="A869" s="117">
        <v>46042.316394594905</v>
      </c>
      <c r="B869" s="118">
        <v>46041.0</v>
      </c>
      <c r="C869" s="119" t="s">
        <v>501</v>
      </c>
      <c r="D869" s="119">
        <v>0.125</v>
      </c>
      <c r="E869" s="119" t="s">
        <v>1073</v>
      </c>
      <c r="F869" s="119" t="s">
        <v>1081</v>
      </c>
    </row>
    <row r="870" ht="22.5" customHeight="1">
      <c r="A870" s="117">
        <v>46042.31682684028</v>
      </c>
      <c r="B870" s="118">
        <v>46041.0</v>
      </c>
      <c r="C870" s="119" t="s">
        <v>837</v>
      </c>
      <c r="D870" s="119">
        <v>25.0</v>
      </c>
      <c r="E870" s="119" t="s">
        <v>687</v>
      </c>
      <c r="F870" s="119" t="s">
        <v>1081</v>
      </c>
    </row>
    <row r="871" ht="22.5" customHeight="1">
      <c r="A871" s="117">
        <v>46042.32089872685</v>
      </c>
      <c r="B871" s="118">
        <v>46041.0</v>
      </c>
      <c r="C871" s="119" t="s">
        <v>798</v>
      </c>
      <c r="D871" s="119">
        <v>13.0</v>
      </c>
      <c r="E871" s="119" t="s">
        <v>687</v>
      </c>
      <c r="F871" s="119" t="s">
        <v>1081</v>
      </c>
    </row>
    <row r="872" ht="22.5" customHeight="1">
      <c r="A872" s="117">
        <v>46042.33008650463</v>
      </c>
      <c r="B872" s="118">
        <v>46041.0</v>
      </c>
      <c r="C872" s="119" t="s">
        <v>588</v>
      </c>
      <c r="D872" s="119">
        <v>121.0</v>
      </c>
      <c r="E872" s="119" t="s">
        <v>1073</v>
      </c>
      <c r="F872" s="119" t="s">
        <v>1076</v>
      </c>
    </row>
    <row r="873" ht="22.5" customHeight="1">
      <c r="A873" s="117">
        <v>46042.33106207176</v>
      </c>
      <c r="B873" s="118">
        <v>46041.0</v>
      </c>
      <c r="C873" s="119" t="s">
        <v>823</v>
      </c>
      <c r="D873" s="119">
        <v>400.0</v>
      </c>
      <c r="E873" s="119" t="s">
        <v>687</v>
      </c>
      <c r="F873" s="119" t="s">
        <v>1098</v>
      </c>
    </row>
    <row r="874" ht="22.5" customHeight="1">
      <c r="A874" s="117">
        <v>46042.33151695602</v>
      </c>
      <c r="B874" s="118">
        <v>46041.0</v>
      </c>
      <c r="C874" s="119" t="s">
        <v>831</v>
      </c>
      <c r="D874" s="119">
        <v>35.0</v>
      </c>
      <c r="E874" s="119" t="s">
        <v>687</v>
      </c>
      <c r="F874" s="119" t="s">
        <v>1098</v>
      </c>
    </row>
    <row r="875" ht="22.5" customHeight="1">
      <c r="A875" s="117">
        <v>46042.33210047454</v>
      </c>
      <c r="B875" s="118">
        <v>46041.0</v>
      </c>
      <c r="C875" s="119" t="s">
        <v>817</v>
      </c>
      <c r="D875" s="119">
        <v>35.0</v>
      </c>
      <c r="E875" s="119" t="s">
        <v>687</v>
      </c>
      <c r="F875" s="119" t="s">
        <v>1098</v>
      </c>
    </row>
    <row r="876" ht="22.5" customHeight="1">
      <c r="A876" s="117">
        <v>46042.680772928245</v>
      </c>
      <c r="B876" s="118">
        <v>46042.0</v>
      </c>
      <c r="C876" s="119" t="s">
        <v>566</v>
      </c>
      <c r="D876" s="119">
        <v>1.0</v>
      </c>
      <c r="E876" s="119" t="s">
        <v>562</v>
      </c>
      <c r="F876" s="119" t="s">
        <v>1084</v>
      </c>
    </row>
    <row r="877" ht="22.5" customHeight="1">
      <c r="A877" s="117">
        <v>46042.681129363424</v>
      </c>
      <c r="B877" s="118">
        <v>46042.0</v>
      </c>
      <c r="C877" s="119" t="s">
        <v>572</v>
      </c>
      <c r="D877" s="119">
        <v>1.0</v>
      </c>
      <c r="E877" s="119" t="s">
        <v>562</v>
      </c>
      <c r="F877" s="119" t="s">
        <v>1084</v>
      </c>
    </row>
    <row r="878" ht="22.5" customHeight="1">
      <c r="A878" s="117">
        <v>46043.33705614583</v>
      </c>
      <c r="B878" s="118">
        <v>46042.0</v>
      </c>
      <c r="C878" s="119" t="s">
        <v>155</v>
      </c>
      <c r="D878" s="119">
        <v>0.8</v>
      </c>
      <c r="E878" s="119" t="s">
        <v>1073</v>
      </c>
      <c r="F878" s="119" t="s">
        <v>1081</v>
      </c>
    </row>
    <row r="879" ht="22.5" customHeight="1">
      <c r="A879" s="117">
        <v>46043.3374950463</v>
      </c>
      <c r="B879" s="118">
        <v>46042.0</v>
      </c>
      <c r="C879" s="119" t="s">
        <v>850</v>
      </c>
      <c r="D879" s="119">
        <v>250.0</v>
      </c>
      <c r="E879" s="119" t="s">
        <v>687</v>
      </c>
      <c r="F879" s="119" t="s">
        <v>1081</v>
      </c>
    </row>
    <row r="880" ht="22.5" customHeight="1">
      <c r="A880" s="117">
        <v>46043.33810202546</v>
      </c>
      <c r="B880" s="118">
        <v>46042.0</v>
      </c>
      <c r="C880" s="119" t="s">
        <v>413</v>
      </c>
      <c r="D880" s="119">
        <v>0.5</v>
      </c>
      <c r="E880" s="119" t="s">
        <v>1073</v>
      </c>
      <c r="F880" s="119" t="s">
        <v>1081</v>
      </c>
    </row>
    <row r="881" ht="22.5" customHeight="1">
      <c r="A881" s="117">
        <v>46043.33854113426</v>
      </c>
      <c r="B881" s="118">
        <v>46042.0</v>
      </c>
      <c r="C881" s="119" t="s">
        <v>798</v>
      </c>
      <c r="D881" s="119">
        <v>12.5</v>
      </c>
      <c r="E881" s="119" t="s">
        <v>687</v>
      </c>
      <c r="F881" s="119" t="s">
        <v>1081</v>
      </c>
    </row>
    <row r="882" ht="22.5" customHeight="1">
      <c r="A882" s="117">
        <v>46043.339380034726</v>
      </c>
      <c r="B882" s="118">
        <v>46042.0</v>
      </c>
      <c r="C882" s="119" t="s">
        <v>191</v>
      </c>
      <c r="D882" s="119">
        <v>0.5</v>
      </c>
      <c r="E882" s="119" t="s">
        <v>1073</v>
      </c>
      <c r="F882" s="119" t="s">
        <v>1081</v>
      </c>
    </row>
    <row r="883" ht="22.5" customHeight="1">
      <c r="A883" s="117">
        <v>46043.33966805556</v>
      </c>
      <c r="B883" s="118">
        <v>46042.0</v>
      </c>
      <c r="C883" s="119" t="s">
        <v>963</v>
      </c>
      <c r="D883" s="119">
        <v>1.0</v>
      </c>
      <c r="E883" s="119" t="s">
        <v>687</v>
      </c>
      <c r="F883" s="119" t="s">
        <v>1081</v>
      </c>
    </row>
    <row r="884" ht="22.5" customHeight="1">
      <c r="A884" s="117">
        <v>46043.340453310186</v>
      </c>
      <c r="B884" s="118">
        <v>46042.0</v>
      </c>
      <c r="C884" s="119" t="s">
        <v>582</v>
      </c>
      <c r="D884" s="119">
        <v>1.8</v>
      </c>
      <c r="E884" s="119" t="s">
        <v>1073</v>
      </c>
      <c r="F884" s="119" t="s">
        <v>1081</v>
      </c>
    </row>
    <row r="885" ht="22.5" customHeight="1">
      <c r="A885" s="117">
        <v>46043.4840497338</v>
      </c>
      <c r="B885" s="118">
        <v>46043.0</v>
      </c>
      <c r="C885" s="119" t="s">
        <v>898</v>
      </c>
      <c r="D885" s="119">
        <v>20.0</v>
      </c>
      <c r="E885" s="119" t="s">
        <v>687</v>
      </c>
      <c r="F885" s="119" t="s">
        <v>1076</v>
      </c>
    </row>
    <row r="886" ht="22.5" customHeight="1">
      <c r="A886" s="117">
        <v>46043.48438743055</v>
      </c>
      <c r="B886" s="118">
        <v>46043.0</v>
      </c>
      <c r="C886" s="119" t="s">
        <v>904</v>
      </c>
      <c r="D886" s="119">
        <v>25.0</v>
      </c>
      <c r="E886" s="119" t="s">
        <v>687</v>
      </c>
      <c r="F886" s="119" t="s">
        <v>1076</v>
      </c>
    </row>
    <row r="887" ht="22.5" customHeight="1">
      <c r="A887" s="117">
        <v>46043.484700347224</v>
      </c>
      <c r="B887" s="118">
        <v>46043.0</v>
      </c>
      <c r="C887" s="119" t="s">
        <v>909</v>
      </c>
      <c r="D887" s="119">
        <v>45.0</v>
      </c>
      <c r="E887" s="119" t="s">
        <v>687</v>
      </c>
      <c r="F887" s="119" t="s">
        <v>1076</v>
      </c>
    </row>
    <row r="888" ht="22.5" customHeight="1">
      <c r="A888" s="117">
        <v>46044.3387665162</v>
      </c>
      <c r="B888" s="118">
        <v>46043.0</v>
      </c>
      <c r="C888" s="119" t="s">
        <v>155</v>
      </c>
      <c r="D888" s="119">
        <v>15.0</v>
      </c>
      <c r="E888" s="119" t="s">
        <v>1073</v>
      </c>
      <c r="F888" s="119" t="s">
        <v>1081</v>
      </c>
    </row>
    <row r="889" ht="22.5" customHeight="1">
      <c r="A889" s="117">
        <v>46044.33938746528</v>
      </c>
      <c r="B889" s="118">
        <v>46043.0</v>
      </c>
      <c r="C889" s="119" t="s">
        <v>869</v>
      </c>
      <c r="D889" s="119">
        <v>0.6</v>
      </c>
      <c r="E889" s="119" t="s">
        <v>687</v>
      </c>
      <c r="F889" s="119" t="s">
        <v>1081</v>
      </c>
    </row>
    <row r="890" ht="22.5" customHeight="1">
      <c r="A890" s="117">
        <v>46044.339715752314</v>
      </c>
      <c r="B890" s="118">
        <v>46043.0</v>
      </c>
      <c r="C890" s="119" t="s">
        <v>10</v>
      </c>
      <c r="D890" s="119">
        <v>0.6</v>
      </c>
      <c r="E890" s="119" t="s">
        <v>1073</v>
      </c>
      <c r="F890" s="119" t="s">
        <v>1081</v>
      </c>
    </row>
    <row r="891" ht="22.5" customHeight="1">
      <c r="A891" s="117">
        <v>46044.3402597338</v>
      </c>
      <c r="B891" s="118">
        <v>46043.0</v>
      </c>
      <c r="C891" s="119" t="s">
        <v>331</v>
      </c>
      <c r="D891" s="119">
        <v>0.8</v>
      </c>
      <c r="E891" s="119" t="s">
        <v>1073</v>
      </c>
      <c r="F891" s="119" t="s">
        <v>1081</v>
      </c>
    </row>
    <row r="892" ht="22.5" customHeight="1">
      <c r="A892" s="117">
        <v>46044.340724375</v>
      </c>
      <c r="B892" s="118">
        <v>46043.0</v>
      </c>
      <c r="C892" s="119" t="s">
        <v>551</v>
      </c>
      <c r="D892" s="119">
        <v>1.0</v>
      </c>
      <c r="E892" s="119" t="s">
        <v>1073</v>
      </c>
      <c r="F892" s="119" t="s">
        <v>1081</v>
      </c>
    </row>
    <row r="893" ht="22.5" customHeight="1">
      <c r="A893" s="117">
        <v>46044.34112399306</v>
      </c>
      <c r="B893" s="118">
        <v>46043.0</v>
      </c>
      <c r="C893" s="119" t="s">
        <v>844</v>
      </c>
      <c r="D893" s="119">
        <v>60.0</v>
      </c>
      <c r="E893" s="119" t="s">
        <v>687</v>
      </c>
      <c r="F893" s="119" t="s">
        <v>1081</v>
      </c>
    </row>
    <row r="894" ht="22.5" customHeight="1">
      <c r="A894" s="117">
        <v>46044.341461793985</v>
      </c>
      <c r="B894" s="118">
        <v>46043.0</v>
      </c>
      <c r="C894" s="119" t="s">
        <v>837</v>
      </c>
      <c r="D894" s="119">
        <v>150.0</v>
      </c>
      <c r="E894" s="119" t="s">
        <v>687</v>
      </c>
      <c r="F894" s="119" t="s">
        <v>1081</v>
      </c>
    </row>
    <row r="895" ht="22.5" customHeight="1">
      <c r="A895" s="117">
        <v>46044.34186376157</v>
      </c>
      <c r="B895" s="118">
        <v>46043.0</v>
      </c>
      <c r="C895" s="119" t="s">
        <v>464</v>
      </c>
      <c r="D895" s="119">
        <v>10.0</v>
      </c>
      <c r="E895" s="119" t="s">
        <v>1073</v>
      </c>
      <c r="F895" s="119" t="s">
        <v>1081</v>
      </c>
    </row>
    <row r="896" ht="22.5" customHeight="1">
      <c r="A896" s="117">
        <v>46044.34232664352</v>
      </c>
      <c r="B896" s="118">
        <v>46043.0</v>
      </c>
      <c r="C896" s="119" t="s">
        <v>831</v>
      </c>
      <c r="D896" s="119">
        <v>85.0</v>
      </c>
      <c r="E896" s="119" t="s">
        <v>687</v>
      </c>
      <c r="F896" s="119" t="s">
        <v>1081</v>
      </c>
    </row>
    <row r="897" ht="22.5" customHeight="1">
      <c r="A897" s="117">
        <v>46044.34269116898</v>
      </c>
      <c r="B897" s="118">
        <v>46043.0</v>
      </c>
      <c r="C897" s="119" t="s">
        <v>817</v>
      </c>
      <c r="D897" s="119">
        <v>35.0</v>
      </c>
      <c r="E897" s="119" t="s">
        <v>687</v>
      </c>
      <c r="F897" s="119" t="s">
        <v>1081</v>
      </c>
    </row>
    <row r="898" ht="22.5" customHeight="1">
      <c r="A898" s="117">
        <v>46044.34317717592</v>
      </c>
      <c r="B898" s="118">
        <v>46043.0</v>
      </c>
      <c r="C898" s="119" t="s">
        <v>1030</v>
      </c>
      <c r="D898" s="119">
        <v>25.0</v>
      </c>
      <c r="E898" s="119" t="s">
        <v>687</v>
      </c>
      <c r="F898" s="119" t="s">
        <v>1081</v>
      </c>
    </row>
    <row r="899" ht="22.5" customHeight="1">
      <c r="A899" s="117">
        <v>46044.343700046295</v>
      </c>
      <c r="B899" s="118">
        <v>46043.0</v>
      </c>
      <c r="C899" s="119" t="s">
        <v>963</v>
      </c>
      <c r="D899" s="119">
        <v>1.0</v>
      </c>
      <c r="E899" s="119" t="s">
        <v>687</v>
      </c>
      <c r="F899" s="119" t="s">
        <v>1081</v>
      </c>
    </row>
    <row r="900" ht="22.5" customHeight="1">
      <c r="A900" s="117">
        <v>46044.640809675926</v>
      </c>
      <c r="B900" s="118">
        <v>46044.0</v>
      </c>
      <c r="C900" s="119" t="s">
        <v>10</v>
      </c>
      <c r="D900" s="119">
        <v>0.4</v>
      </c>
      <c r="E900" s="119" t="s">
        <v>1073</v>
      </c>
      <c r="F900" s="119" t="s">
        <v>1077</v>
      </c>
    </row>
    <row r="901" ht="22.5" customHeight="1">
      <c r="A901" s="117">
        <v>46044.64199024306</v>
      </c>
      <c r="B901" s="118">
        <v>46044.0</v>
      </c>
      <c r="C901" s="119" t="s">
        <v>817</v>
      </c>
      <c r="D901" s="119">
        <v>2.0</v>
      </c>
      <c r="E901" s="119" t="s">
        <v>687</v>
      </c>
      <c r="F901" s="119" t="s">
        <v>1077</v>
      </c>
    </row>
    <row r="902" ht="22.5" customHeight="1">
      <c r="A902" s="117">
        <v>46044.64256576389</v>
      </c>
      <c r="B902" s="118">
        <v>46044.0</v>
      </c>
      <c r="C902" s="119" t="s">
        <v>869</v>
      </c>
      <c r="D902" s="119">
        <v>0.4</v>
      </c>
      <c r="E902" s="119" t="s">
        <v>687</v>
      </c>
      <c r="F902" s="119" t="s">
        <v>1077</v>
      </c>
    </row>
    <row r="903" ht="22.5" customHeight="1">
      <c r="A903" s="117">
        <v>46044.642978460644</v>
      </c>
      <c r="B903" s="118">
        <v>46044.0</v>
      </c>
      <c r="C903" s="119" t="s">
        <v>837</v>
      </c>
      <c r="D903" s="119">
        <v>200.0</v>
      </c>
      <c r="E903" s="119" t="s">
        <v>687</v>
      </c>
      <c r="F903" s="119" t="s">
        <v>1077</v>
      </c>
    </row>
    <row r="904" ht="22.5" customHeight="1">
      <c r="A904" s="117">
        <v>46044.677221446764</v>
      </c>
      <c r="B904" s="118">
        <v>46044.0</v>
      </c>
      <c r="C904" s="119" t="s">
        <v>837</v>
      </c>
      <c r="D904" s="119">
        <v>1000.0</v>
      </c>
      <c r="E904" s="119" t="s">
        <v>687</v>
      </c>
      <c r="F904" s="119" t="s">
        <v>1098</v>
      </c>
    </row>
    <row r="905" ht="22.5" customHeight="1">
      <c r="A905" s="117">
        <v>46044.67746313657</v>
      </c>
      <c r="B905" s="118">
        <v>46044.0</v>
      </c>
      <c r="C905" s="119" t="s">
        <v>837</v>
      </c>
      <c r="D905" s="119">
        <v>600.0</v>
      </c>
      <c r="E905" s="119" t="s">
        <v>687</v>
      </c>
      <c r="F905" s="119" t="s">
        <v>1092</v>
      </c>
    </row>
    <row r="906" ht="22.5" customHeight="1">
      <c r="A906" s="117">
        <v>46044.69915231482</v>
      </c>
      <c r="B906" s="118">
        <v>46043.0</v>
      </c>
      <c r="C906" s="119" t="s">
        <v>823</v>
      </c>
      <c r="D906" s="119">
        <v>102.0</v>
      </c>
      <c r="E906" s="119" t="s">
        <v>687</v>
      </c>
      <c r="F906" s="119" t="s">
        <v>1082</v>
      </c>
    </row>
    <row r="907" ht="22.5" customHeight="1">
      <c r="A907" s="117">
        <v>46044.704796377315</v>
      </c>
      <c r="B907" s="118">
        <v>46044.0</v>
      </c>
      <c r="C907" s="119" t="s">
        <v>532</v>
      </c>
      <c r="D907" s="119">
        <v>2.0</v>
      </c>
      <c r="E907" s="119" t="s">
        <v>562</v>
      </c>
      <c r="F907" s="119" t="s">
        <v>1099</v>
      </c>
    </row>
    <row r="908" ht="22.5" customHeight="1">
      <c r="A908" s="117">
        <v>46044.70540489584</v>
      </c>
      <c r="B908" s="118">
        <v>46044.0</v>
      </c>
      <c r="C908" s="119" t="s">
        <v>566</v>
      </c>
      <c r="D908" s="119">
        <v>1.0</v>
      </c>
      <c r="E908" s="119" t="s">
        <v>562</v>
      </c>
      <c r="F908" s="119" t="s">
        <v>1099</v>
      </c>
    </row>
    <row r="909" ht="22.5" customHeight="1">
      <c r="A909" s="117">
        <v>46044.705678425926</v>
      </c>
      <c r="B909" s="118">
        <v>46044.0</v>
      </c>
      <c r="C909" s="119" t="s">
        <v>572</v>
      </c>
      <c r="D909" s="119">
        <v>1.0</v>
      </c>
      <c r="E909" s="119" t="s">
        <v>562</v>
      </c>
      <c r="F909" s="119" t="s">
        <v>1099</v>
      </c>
    </row>
    <row r="910" ht="22.5" customHeight="1">
      <c r="A910" s="117">
        <v>46044.70619030093</v>
      </c>
      <c r="B910" s="118">
        <v>46044.0</v>
      </c>
      <c r="C910" s="119" t="s">
        <v>637</v>
      </c>
      <c r="D910" s="119">
        <v>1.0</v>
      </c>
      <c r="E910" s="119" t="s">
        <v>562</v>
      </c>
      <c r="F910" s="119" t="s">
        <v>1099</v>
      </c>
    </row>
    <row r="911" ht="22.5" customHeight="1">
      <c r="A911" s="117">
        <v>46045.679157210645</v>
      </c>
      <c r="B911" s="118">
        <v>46045.0</v>
      </c>
      <c r="C911" s="119" t="s">
        <v>817</v>
      </c>
      <c r="D911" s="119">
        <v>360.0</v>
      </c>
      <c r="E911" s="119" t="s">
        <v>687</v>
      </c>
      <c r="F911" s="119" t="s">
        <v>1098</v>
      </c>
    </row>
    <row r="912" ht="22.5" customHeight="1">
      <c r="A912" s="117">
        <v>46045.69964569445</v>
      </c>
      <c r="B912" s="118">
        <v>46045.0</v>
      </c>
      <c r="C912" s="119" t="s">
        <v>588</v>
      </c>
      <c r="D912" s="119">
        <v>12.5</v>
      </c>
      <c r="E912" s="119" t="s">
        <v>1073</v>
      </c>
      <c r="F912" s="119" t="s">
        <v>1098</v>
      </c>
    </row>
    <row r="913" ht="22.5" customHeight="1">
      <c r="A913" s="117">
        <v>46045.69995825231</v>
      </c>
      <c r="B913" s="118">
        <v>46045.0</v>
      </c>
      <c r="C913" s="119" t="s">
        <v>311</v>
      </c>
      <c r="D913" s="119">
        <v>24.0</v>
      </c>
      <c r="E913" s="119" t="s">
        <v>1073</v>
      </c>
      <c r="F913" s="119" t="s">
        <v>1098</v>
      </c>
    </row>
    <row r="914" ht="22.5" customHeight="1">
      <c r="A914" s="117">
        <v>46045.69997973379</v>
      </c>
      <c r="B914" s="118">
        <v>46045.0</v>
      </c>
      <c r="C914" s="119" t="s">
        <v>991</v>
      </c>
      <c r="D914" s="119">
        <v>1.25</v>
      </c>
      <c r="E914" s="119" t="s">
        <v>687</v>
      </c>
      <c r="F914" s="119" t="s">
        <v>1081</v>
      </c>
    </row>
    <row r="915" ht="22.5" customHeight="1">
      <c r="A915" s="117">
        <v>46045.70020222222</v>
      </c>
      <c r="B915" s="118">
        <v>46045.0</v>
      </c>
      <c r="C915" s="119" t="s">
        <v>658</v>
      </c>
      <c r="D915" s="119">
        <v>24.0</v>
      </c>
      <c r="E915" s="119" t="s">
        <v>1073</v>
      </c>
      <c r="F915" s="119" t="s">
        <v>1098</v>
      </c>
    </row>
    <row r="916" ht="22.5" customHeight="1">
      <c r="A916" s="117">
        <v>46045.70032732638</v>
      </c>
      <c r="B916" s="118">
        <v>46045.0</v>
      </c>
      <c r="C916" s="119" t="s">
        <v>817</v>
      </c>
      <c r="D916" s="119">
        <v>180.0</v>
      </c>
      <c r="E916" s="119" t="s">
        <v>687</v>
      </c>
      <c r="F916" s="119" t="s">
        <v>1081</v>
      </c>
    </row>
    <row r="917" ht="22.5" customHeight="1">
      <c r="A917" s="117">
        <v>46045.70044667824</v>
      </c>
      <c r="B917" s="118">
        <v>46045.0</v>
      </c>
      <c r="C917" s="119" t="s">
        <v>318</v>
      </c>
      <c r="D917" s="119">
        <v>5.0</v>
      </c>
      <c r="E917" s="119" t="s">
        <v>1073</v>
      </c>
      <c r="F917" s="119" t="s">
        <v>1098</v>
      </c>
    </row>
    <row r="918" ht="22.5" customHeight="1">
      <c r="A918" s="117">
        <v>46045.70064304398</v>
      </c>
      <c r="B918" s="118">
        <v>46045.0</v>
      </c>
      <c r="C918" s="119" t="s">
        <v>163</v>
      </c>
      <c r="D918" s="119">
        <v>15.0</v>
      </c>
      <c r="E918" s="119" t="s">
        <v>1073</v>
      </c>
      <c r="F918" s="119" t="s">
        <v>1081</v>
      </c>
    </row>
    <row r="919" ht="22.5" customHeight="1">
      <c r="A919" s="117">
        <v>46045.70231576389</v>
      </c>
      <c r="B919" s="118">
        <v>46045.0</v>
      </c>
      <c r="C919" s="119" t="s">
        <v>850</v>
      </c>
      <c r="D919" s="119">
        <v>300.0</v>
      </c>
      <c r="E919" s="119" t="s">
        <v>687</v>
      </c>
      <c r="F919" s="119" t="s">
        <v>1081</v>
      </c>
    </row>
    <row r="920" ht="22.5" customHeight="1">
      <c r="A920" s="117">
        <v>46045.702690844904</v>
      </c>
      <c r="B920" s="118">
        <v>46045.0</v>
      </c>
      <c r="C920" s="119" t="s">
        <v>823</v>
      </c>
      <c r="D920" s="119">
        <v>2.0</v>
      </c>
      <c r="E920" s="119" t="s">
        <v>687</v>
      </c>
      <c r="F920" s="119" t="s">
        <v>1081</v>
      </c>
    </row>
    <row r="921" ht="22.5" customHeight="1">
      <c r="A921" s="117">
        <v>46048.45308173611</v>
      </c>
      <c r="B921" s="118">
        <v>46045.0</v>
      </c>
      <c r="C921" s="119" t="s">
        <v>588</v>
      </c>
      <c r="D921" s="119">
        <v>12.5</v>
      </c>
      <c r="E921" s="119" t="s">
        <v>1073</v>
      </c>
      <c r="F921" s="119" t="s">
        <v>1098</v>
      </c>
    </row>
    <row r="922" ht="22.5" customHeight="1">
      <c r="A922" s="117">
        <v>46048.45352685185</v>
      </c>
      <c r="B922" s="118">
        <v>46048.0</v>
      </c>
      <c r="C922" s="119" t="s">
        <v>588</v>
      </c>
      <c r="D922" s="119">
        <v>12.5</v>
      </c>
      <c r="E922" s="119" t="s">
        <v>1073</v>
      </c>
      <c r="F922" s="119" t="s">
        <v>1098</v>
      </c>
    </row>
    <row r="923" ht="22.5" customHeight="1">
      <c r="A923" s="117">
        <v>46048.45391357639</v>
      </c>
      <c r="B923" s="118">
        <v>46048.0</v>
      </c>
      <c r="C923" s="119" t="s">
        <v>658</v>
      </c>
      <c r="D923" s="119">
        <v>24.0</v>
      </c>
      <c r="E923" s="119" t="s">
        <v>1073</v>
      </c>
      <c r="F923" s="119" t="s">
        <v>1098</v>
      </c>
    </row>
    <row r="924" ht="22.5" customHeight="1">
      <c r="A924" s="117">
        <v>46048.45417712963</v>
      </c>
      <c r="B924" s="118">
        <v>46048.0</v>
      </c>
      <c r="C924" s="119" t="s">
        <v>311</v>
      </c>
      <c r="D924" s="119">
        <v>24.0</v>
      </c>
      <c r="E924" s="119" t="s">
        <v>1073</v>
      </c>
      <c r="F924" s="119" t="s">
        <v>1098</v>
      </c>
    </row>
    <row r="925" ht="22.5" customHeight="1">
      <c r="A925" s="117">
        <v>46048.45445635417</v>
      </c>
      <c r="B925" s="118">
        <v>46048.0</v>
      </c>
      <c r="C925" s="119" t="s">
        <v>318</v>
      </c>
      <c r="D925" s="119">
        <v>5.0</v>
      </c>
      <c r="E925" s="119" t="s">
        <v>1073</v>
      </c>
      <c r="F925" s="119" t="s">
        <v>1098</v>
      </c>
    </row>
    <row r="926" ht="22.5" customHeight="1">
      <c r="A926" s="117">
        <v>46048.45486309028</v>
      </c>
      <c r="B926" s="118">
        <v>46048.0</v>
      </c>
      <c r="C926" s="119" t="s">
        <v>823</v>
      </c>
      <c r="D926" s="119">
        <v>75.0</v>
      </c>
      <c r="E926" s="119" t="s">
        <v>687</v>
      </c>
      <c r="F926" s="119" t="s">
        <v>1098</v>
      </c>
    </row>
    <row r="927" ht="22.5" customHeight="1">
      <c r="A927" s="117">
        <v>46048.47421155093</v>
      </c>
      <c r="B927" s="118">
        <v>46048.0</v>
      </c>
      <c r="C927" s="119" t="s">
        <v>395</v>
      </c>
      <c r="D927" s="119">
        <v>0.4687</v>
      </c>
      <c r="E927" s="119" t="s">
        <v>1073</v>
      </c>
      <c r="F927" s="119" t="s">
        <v>1081</v>
      </c>
    </row>
    <row r="928" ht="22.5" customHeight="1">
      <c r="A928" s="117">
        <v>46048.47450534722</v>
      </c>
      <c r="B928" s="118">
        <v>46048.0</v>
      </c>
      <c r="C928" s="119" t="s">
        <v>882</v>
      </c>
      <c r="D928" s="119">
        <v>7.0</v>
      </c>
      <c r="E928" s="119" t="s">
        <v>687</v>
      </c>
      <c r="F928" s="119" t="s">
        <v>1081</v>
      </c>
    </row>
    <row r="929" ht="22.5" customHeight="1">
      <c r="A929" s="117">
        <v>46048.47478105324</v>
      </c>
      <c r="B929" s="118">
        <v>46048.0</v>
      </c>
      <c r="C929" s="119" t="s">
        <v>823</v>
      </c>
      <c r="D929" s="119">
        <v>6.0</v>
      </c>
      <c r="E929" s="119" t="s">
        <v>687</v>
      </c>
      <c r="F929" s="119" t="s">
        <v>1081</v>
      </c>
    </row>
    <row r="930" ht="22.5" customHeight="1">
      <c r="A930" s="117">
        <v>46049.31608737269</v>
      </c>
      <c r="B930" s="118">
        <v>46048.0</v>
      </c>
      <c r="C930" s="119" t="s">
        <v>191</v>
      </c>
      <c r="D930" s="119">
        <v>0.5</v>
      </c>
      <c r="E930" s="119" t="s">
        <v>1073</v>
      </c>
      <c r="F930" s="119" t="s">
        <v>1081</v>
      </c>
    </row>
    <row r="931" ht="22.5" customHeight="1">
      <c r="A931" s="117">
        <v>46049.316512777776</v>
      </c>
      <c r="B931" s="118">
        <v>46048.0</v>
      </c>
      <c r="C931" s="119" t="s">
        <v>274</v>
      </c>
      <c r="D931" s="119">
        <v>4.0</v>
      </c>
      <c r="E931" s="119" t="s">
        <v>1073</v>
      </c>
      <c r="F931" s="119" t="s">
        <v>1081</v>
      </c>
    </row>
    <row r="932" ht="22.5" customHeight="1">
      <c r="A932" s="117">
        <v>46049.31702418982</v>
      </c>
      <c r="B932" s="118">
        <v>46048.0</v>
      </c>
      <c r="C932" s="119" t="s">
        <v>888</v>
      </c>
      <c r="D932" s="119">
        <v>25.0</v>
      </c>
      <c r="E932" s="119" t="s">
        <v>687</v>
      </c>
      <c r="F932" s="119" t="s">
        <v>1081</v>
      </c>
    </row>
    <row r="933" ht="22.5" customHeight="1">
      <c r="A933" s="117">
        <v>46049.3420669676</v>
      </c>
      <c r="B933" s="118">
        <v>46048.0</v>
      </c>
      <c r="C933" s="119" t="s">
        <v>318</v>
      </c>
      <c r="D933" s="119">
        <v>10.0</v>
      </c>
      <c r="E933" s="119" t="s">
        <v>1073</v>
      </c>
      <c r="F933" s="119" t="s">
        <v>1098</v>
      </c>
    </row>
    <row r="934" ht="22.5" customHeight="1">
      <c r="A934" s="117">
        <v>46049.34267100695</v>
      </c>
      <c r="B934" s="118">
        <v>46048.0</v>
      </c>
      <c r="C934" s="119" t="s">
        <v>823</v>
      </c>
      <c r="D934" s="119">
        <v>135.0</v>
      </c>
      <c r="E934" s="119" t="s">
        <v>687</v>
      </c>
      <c r="F934" s="119" t="s">
        <v>1098</v>
      </c>
    </row>
    <row r="935" ht="22.5" customHeight="1">
      <c r="A935" s="117">
        <v>46049.343176504626</v>
      </c>
      <c r="B935" s="118">
        <v>46048.0</v>
      </c>
      <c r="C935" s="119" t="s">
        <v>817</v>
      </c>
      <c r="D935" s="119">
        <v>67.5</v>
      </c>
      <c r="E935" s="119" t="s">
        <v>687</v>
      </c>
      <c r="F935" s="119" t="s">
        <v>1098</v>
      </c>
    </row>
    <row r="936" ht="22.5" customHeight="1">
      <c r="A936" s="117">
        <v>46049.4830496412</v>
      </c>
      <c r="B936" s="118">
        <v>46048.0</v>
      </c>
      <c r="C936" s="119" t="s">
        <v>532</v>
      </c>
      <c r="D936" s="119">
        <v>3.0</v>
      </c>
      <c r="E936" s="119" t="s">
        <v>562</v>
      </c>
      <c r="F936" s="119" t="s">
        <v>1099</v>
      </c>
    </row>
    <row r="937" ht="22.5" customHeight="1">
      <c r="A937" s="117">
        <v>46049.48351659722</v>
      </c>
      <c r="B937" s="118">
        <v>46048.0</v>
      </c>
      <c r="C937" s="119" t="s">
        <v>566</v>
      </c>
      <c r="D937" s="119">
        <v>2.0</v>
      </c>
      <c r="E937" s="119" t="s">
        <v>562</v>
      </c>
      <c r="F937" s="119" t="s">
        <v>1099</v>
      </c>
    </row>
    <row r="938" ht="22.5" customHeight="1">
      <c r="A938" s="117">
        <v>46049.483787523146</v>
      </c>
      <c r="B938" s="118">
        <v>46048.0</v>
      </c>
      <c r="C938" s="119" t="s">
        <v>572</v>
      </c>
      <c r="D938" s="119">
        <v>2.0</v>
      </c>
      <c r="E938" s="119" t="s">
        <v>562</v>
      </c>
      <c r="F938" s="119" t="s">
        <v>1099</v>
      </c>
    </row>
    <row r="939" ht="22.5" customHeight="1">
      <c r="A939" s="117">
        <v>46049.48463045139</v>
      </c>
      <c r="B939" s="118">
        <v>46049.0</v>
      </c>
      <c r="C939" s="119" t="s">
        <v>476</v>
      </c>
      <c r="D939" s="119">
        <v>5.101</v>
      </c>
      <c r="E939" s="119" t="s">
        <v>1073</v>
      </c>
      <c r="F939" s="119" t="s">
        <v>1099</v>
      </c>
    </row>
    <row r="940" ht="22.5" customHeight="1">
      <c r="A940" s="117">
        <v>46049.486029004634</v>
      </c>
      <c r="B940" s="118">
        <v>46048.0</v>
      </c>
      <c r="C940" s="119" t="s">
        <v>817</v>
      </c>
      <c r="D940" s="119">
        <v>100.0</v>
      </c>
      <c r="E940" s="119" t="s">
        <v>687</v>
      </c>
      <c r="F940" s="119" t="s">
        <v>1081</v>
      </c>
    </row>
    <row r="941" ht="22.5" customHeight="1">
      <c r="A941" s="117">
        <v>46049.48681663194</v>
      </c>
      <c r="B941" s="118">
        <v>46049.0</v>
      </c>
      <c r="C941" s="119" t="s">
        <v>831</v>
      </c>
      <c r="D941" s="119">
        <v>115.0</v>
      </c>
      <c r="E941" s="119" t="s">
        <v>687</v>
      </c>
      <c r="F941" s="119" t="s">
        <v>1081</v>
      </c>
    </row>
    <row r="942" ht="22.5" customHeight="1">
      <c r="A942" s="117">
        <v>46049.487117337965</v>
      </c>
      <c r="B942" s="118">
        <v>46049.0</v>
      </c>
      <c r="C942" s="119" t="s">
        <v>582</v>
      </c>
      <c r="D942" s="119">
        <v>1.25</v>
      </c>
      <c r="E942" s="119" t="s">
        <v>1073</v>
      </c>
      <c r="F942" s="119" t="s">
        <v>1081</v>
      </c>
    </row>
    <row r="943" ht="22.5" customHeight="1">
      <c r="A943" s="117">
        <v>46049.48741484954</v>
      </c>
      <c r="B943" s="118">
        <v>46049.0</v>
      </c>
      <c r="C943" s="119" t="s">
        <v>551</v>
      </c>
      <c r="D943" s="119">
        <v>2.25</v>
      </c>
      <c r="E943" s="119" t="s">
        <v>1073</v>
      </c>
      <c r="F943" s="119" t="s">
        <v>1081</v>
      </c>
    </row>
    <row r="944" ht="22.5" customHeight="1">
      <c r="A944" s="117">
        <v>46049.613208877316</v>
      </c>
      <c r="B944" s="118">
        <v>46049.0</v>
      </c>
      <c r="C944" s="119" t="s">
        <v>837</v>
      </c>
      <c r="D944" s="119">
        <v>100.0</v>
      </c>
      <c r="E944" s="119" t="s">
        <v>687</v>
      </c>
      <c r="F944" s="119" t="s">
        <v>1098</v>
      </c>
    </row>
    <row r="945" ht="22.5" customHeight="1">
      <c r="A945" s="117">
        <v>46049.61455322917</v>
      </c>
      <c r="B945" s="118">
        <v>46049.0</v>
      </c>
      <c r="C945" s="119" t="s">
        <v>318</v>
      </c>
      <c r="D945" s="119">
        <v>5.0</v>
      </c>
      <c r="E945" s="119" t="s">
        <v>1073</v>
      </c>
      <c r="F945" s="119" t="s">
        <v>1076</v>
      </c>
    </row>
    <row r="946" ht="22.5" customHeight="1">
      <c r="A946" s="117">
        <v>46049.61486349537</v>
      </c>
      <c r="B946" s="118">
        <v>46049.0</v>
      </c>
      <c r="C946" s="119" t="s">
        <v>311</v>
      </c>
      <c r="D946" s="119">
        <v>24.0</v>
      </c>
      <c r="E946" s="119" t="s">
        <v>1073</v>
      </c>
      <c r="F946" s="119" t="s">
        <v>1076</v>
      </c>
    </row>
    <row r="947" ht="22.5" customHeight="1">
      <c r="A947" s="117">
        <v>46049.61515128472</v>
      </c>
      <c r="B947" s="118">
        <v>46049.0</v>
      </c>
      <c r="C947" s="119" t="s">
        <v>588</v>
      </c>
      <c r="D947" s="119">
        <v>10.0</v>
      </c>
      <c r="E947" s="119" t="s">
        <v>1073</v>
      </c>
      <c r="F947" s="119" t="s">
        <v>1076</v>
      </c>
    </row>
    <row r="948" ht="22.5" customHeight="1">
      <c r="A948" s="117">
        <v>46049.615670625004</v>
      </c>
      <c r="B948" s="118">
        <v>46049.0</v>
      </c>
      <c r="C948" s="119" t="s">
        <v>658</v>
      </c>
      <c r="D948" s="119">
        <v>24.0</v>
      </c>
      <c r="E948" s="119" t="s">
        <v>1073</v>
      </c>
      <c r="F948" s="119" t="s">
        <v>1076</v>
      </c>
    </row>
    <row r="949" ht="22.5" customHeight="1">
      <c r="A949" s="117">
        <v>46049.67596028935</v>
      </c>
      <c r="B949" s="118">
        <v>46049.0</v>
      </c>
      <c r="C949" s="119" t="s">
        <v>831</v>
      </c>
      <c r="D949" s="119">
        <v>175.0</v>
      </c>
      <c r="E949" s="119" t="s">
        <v>687</v>
      </c>
      <c r="F949" s="119" t="s">
        <v>1081</v>
      </c>
    </row>
    <row r="950" ht="22.5" customHeight="1">
      <c r="A950" s="117">
        <v>46049.67631113426</v>
      </c>
      <c r="B950" s="118">
        <v>46049.0</v>
      </c>
      <c r="C950" s="119" t="s">
        <v>817</v>
      </c>
      <c r="D950" s="119">
        <v>70.0</v>
      </c>
      <c r="E950" s="119" t="s">
        <v>687</v>
      </c>
      <c r="F950" s="119" t="s">
        <v>1081</v>
      </c>
    </row>
    <row r="951" ht="22.5" customHeight="1">
      <c r="A951" s="117">
        <v>46050.32743138889</v>
      </c>
      <c r="B951" s="118">
        <v>46049.0</v>
      </c>
      <c r="C951" s="119" t="s">
        <v>155</v>
      </c>
      <c r="D951" s="119">
        <v>2.5</v>
      </c>
      <c r="E951" s="119" t="s">
        <v>1073</v>
      </c>
      <c r="F951" s="119" t="s">
        <v>1081</v>
      </c>
    </row>
    <row r="952" ht="22.5" customHeight="1">
      <c r="A952" s="117">
        <v>46050.32838152778</v>
      </c>
      <c r="B952" s="118">
        <v>46049.0</v>
      </c>
      <c r="C952" s="119" t="s">
        <v>464</v>
      </c>
      <c r="D952" s="119">
        <v>10.0</v>
      </c>
      <c r="E952" s="119" t="s">
        <v>1073</v>
      </c>
      <c r="F952" s="119" t="s">
        <v>1081</v>
      </c>
    </row>
    <row r="953" ht="22.5" customHeight="1">
      <c r="A953" s="117">
        <v>46050.668932025466</v>
      </c>
      <c r="B953" s="118">
        <v>46050.0</v>
      </c>
      <c r="C953" s="119" t="s">
        <v>155</v>
      </c>
      <c r="D953" s="119">
        <v>5.0</v>
      </c>
      <c r="E953" s="119" t="s">
        <v>1073</v>
      </c>
      <c r="F953" s="119" t="s">
        <v>1081</v>
      </c>
    </row>
    <row r="954" ht="22.5" customHeight="1">
      <c r="A954" s="117">
        <v>46050.669435185184</v>
      </c>
      <c r="B954" s="118">
        <v>46050.0</v>
      </c>
      <c r="C954" s="119" t="s">
        <v>464</v>
      </c>
      <c r="D954" s="119">
        <v>20.0</v>
      </c>
      <c r="E954" s="119" t="s">
        <v>1073</v>
      </c>
      <c r="F954" s="119" t="s">
        <v>1081</v>
      </c>
    </row>
    <row r="955" ht="22.5" customHeight="1">
      <c r="A955" s="117">
        <v>46050.67022457176</v>
      </c>
      <c r="B955" s="118">
        <v>46050.0</v>
      </c>
      <c r="C955" s="119" t="s">
        <v>831</v>
      </c>
      <c r="D955" s="119">
        <v>129.8</v>
      </c>
      <c r="E955" s="119" t="s">
        <v>687</v>
      </c>
      <c r="F955" s="119" t="s">
        <v>1081</v>
      </c>
    </row>
    <row r="956" ht="22.5" customHeight="1">
      <c r="A956" s="117">
        <v>46050.670822025466</v>
      </c>
      <c r="B956" s="118">
        <v>46050.0</v>
      </c>
      <c r="C956" s="119" t="s">
        <v>551</v>
      </c>
      <c r="D956" s="119">
        <v>3.0</v>
      </c>
      <c r="E956" s="119" t="s">
        <v>1073</v>
      </c>
      <c r="F956" s="119" t="s">
        <v>1081</v>
      </c>
    </row>
    <row r="957" ht="22.5" customHeight="1">
      <c r="A957" s="117">
        <v>46050.681697569446</v>
      </c>
      <c r="B957" s="118">
        <v>46050.0</v>
      </c>
      <c r="C957" s="119" t="s">
        <v>470</v>
      </c>
      <c r="D957" s="119">
        <v>4.001</v>
      </c>
      <c r="E957" s="119" t="s">
        <v>1073</v>
      </c>
      <c r="F957" s="119" t="s">
        <v>1099</v>
      </c>
    </row>
    <row r="958" ht="22.5" customHeight="1">
      <c r="A958" s="117">
        <v>46050.68246791667</v>
      </c>
      <c r="B958" s="118">
        <v>46050.0</v>
      </c>
      <c r="C958" s="119" t="s">
        <v>957</v>
      </c>
      <c r="D958" s="119">
        <v>0.4</v>
      </c>
      <c r="E958" s="119" t="s">
        <v>687</v>
      </c>
      <c r="F958" s="119" t="s">
        <v>1099</v>
      </c>
    </row>
    <row r="959" ht="22.5" customHeight="1">
      <c r="A959" s="117">
        <v>46051.36387244213</v>
      </c>
      <c r="B959" s="118">
        <v>46050.0</v>
      </c>
      <c r="C959" s="119" t="s">
        <v>318</v>
      </c>
      <c r="D959" s="119">
        <v>5.0</v>
      </c>
      <c r="E959" s="119" t="s">
        <v>1073</v>
      </c>
      <c r="F959" s="119" t="s">
        <v>1079</v>
      </c>
    </row>
    <row r="960" ht="22.5" customHeight="1">
      <c r="A960" s="117">
        <v>46051.364225729165</v>
      </c>
      <c r="B960" s="118">
        <v>46051.0</v>
      </c>
      <c r="C960" s="119" t="s">
        <v>155</v>
      </c>
      <c r="D960" s="119">
        <v>2.512</v>
      </c>
      <c r="E960" s="119" t="s">
        <v>1073</v>
      </c>
      <c r="F960" s="119" t="s">
        <v>1079</v>
      </c>
    </row>
    <row r="961" ht="22.5" customHeight="1">
      <c r="A961" s="117">
        <v>46051.364615555554</v>
      </c>
      <c r="B961" s="118">
        <v>46051.0</v>
      </c>
      <c r="C961" s="119" t="s">
        <v>464</v>
      </c>
      <c r="D961" s="119">
        <v>10.01</v>
      </c>
      <c r="E961" s="119" t="s">
        <v>1073</v>
      </c>
      <c r="F961" s="119" t="s">
        <v>1079</v>
      </c>
    </row>
    <row r="962" ht="22.5" customHeight="1">
      <c r="A962" s="117">
        <v>46051.365275000004</v>
      </c>
      <c r="B962" s="118">
        <v>46051.0</v>
      </c>
      <c r="C962" s="119" t="s">
        <v>318</v>
      </c>
      <c r="D962" s="119">
        <v>5.0</v>
      </c>
      <c r="E962" s="119" t="s">
        <v>1073</v>
      </c>
      <c r="F962" s="119" t="s">
        <v>1079</v>
      </c>
    </row>
    <row r="963" ht="22.5" customHeight="1">
      <c r="A963" s="117">
        <v>46051.59247887731</v>
      </c>
      <c r="B963" s="118">
        <v>46051.0</v>
      </c>
      <c r="C963" s="119" t="s">
        <v>155</v>
      </c>
      <c r="D963" s="119">
        <v>2.5</v>
      </c>
      <c r="E963" s="119" t="s">
        <v>1073</v>
      </c>
      <c r="F963" s="119" t="s">
        <v>1082</v>
      </c>
    </row>
    <row r="964" ht="22.5" customHeight="1">
      <c r="A964" s="117">
        <v>46051.59275930555</v>
      </c>
      <c r="B964" s="118">
        <v>46051.0</v>
      </c>
      <c r="C964" s="119" t="s">
        <v>464</v>
      </c>
      <c r="D964" s="119">
        <v>10.29</v>
      </c>
      <c r="E964" s="119" t="s">
        <v>1073</v>
      </c>
      <c r="F964" s="119" t="s">
        <v>1079</v>
      </c>
    </row>
    <row r="965" ht="22.5" customHeight="1">
      <c r="A965" s="117">
        <v>46051.682992013884</v>
      </c>
      <c r="B965" s="118">
        <v>46051.0</v>
      </c>
      <c r="C965" s="119" t="s">
        <v>532</v>
      </c>
      <c r="D965" s="119">
        <v>4.0</v>
      </c>
      <c r="E965" s="119" t="s">
        <v>562</v>
      </c>
      <c r="F965" s="119" t="s">
        <v>1099</v>
      </c>
    </row>
    <row r="966" ht="22.5" customHeight="1">
      <c r="A966" s="117">
        <v>46051.68341607639</v>
      </c>
      <c r="B966" s="118">
        <v>46051.0</v>
      </c>
      <c r="C966" s="119" t="s">
        <v>566</v>
      </c>
      <c r="D966" s="119">
        <v>2.0</v>
      </c>
      <c r="E966" s="119" t="s">
        <v>562</v>
      </c>
      <c r="F966" s="119" t="s">
        <v>1099</v>
      </c>
    </row>
    <row r="967" ht="22.5" customHeight="1">
      <c r="A967" s="117">
        <v>46051.68375940972</v>
      </c>
      <c r="B967" s="118">
        <v>46051.0</v>
      </c>
      <c r="C967" s="119" t="s">
        <v>572</v>
      </c>
      <c r="D967" s="119">
        <v>2.0</v>
      </c>
      <c r="E967" s="119" t="s">
        <v>562</v>
      </c>
      <c r="F967" s="119" t="s">
        <v>1099</v>
      </c>
    </row>
    <row r="968" ht="22.5" customHeight="1">
      <c r="A968" s="117">
        <v>46051.71226739584</v>
      </c>
      <c r="B968" s="118">
        <v>46051.0</v>
      </c>
      <c r="C968" s="119" t="s">
        <v>823</v>
      </c>
      <c r="D968" s="119">
        <v>1000.0</v>
      </c>
      <c r="E968" s="119" t="s">
        <v>687</v>
      </c>
      <c r="F968" s="119" t="s">
        <v>1081</v>
      </c>
    </row>
    <row r="969" ht="22.5" customHeight="1">
      <c r="A969" s="117">
        <v>46051.71261322917</v>
      </c>
      <c r="B969" s="118">
        <v>46051.0</v>
      </c>
      <c r="C969" s="119" t="s">
        <v>294</v>
      </c>
      <c r="D969" s="119">
        <v>10.12</v>
      </c>
      <c r="E969" s="119" t="s">
        <v>1073</v>
      </c>
      <c r="F969" s="119" t="s">
        <v>1081</v>
      </c>
    </row>
    <row r="970" ht="22.5" customHeight="1">
      <c r="A970" s="117">
        <v>46051.7128978588</v>
      </c>
      <c r="B970" s="118">
        <v>46051.0</v>
      </c>
      <c r="C970" s="119" t="s">
        <v>817</v>
      </c>
      <c r="D970" s="119">
        <v>50.0</v>
      </c>
      <c r="E970" s="119" t="s">
        <v>687</v>
      </c>
      <c r="F970" s="119" t="s">
        <v>1081</v>
      </c>
    </row>
    <row r="971" ht="22.5" customHeight="1">
      <c r="A971" s="117">
        <v>46051.71332914352</v>
      </c>
      <c r="B971" s="118">
        <v>46051.0</v>
      </c>
      <c r="C971" s="119" t="s">
        <v>1030</v>
      </c>
      <c r="D971" s="119">
        <v>50.0</v>
      </c>
      <c r="E971" s="119" t="s">
        <v>687</v>
      </c>
      <c r="F971" s="119" t="s">
        <v>1081</v>
      </c>
    </row>
    <row r="972" ht="22.5" customHeight="1">
      <c r="A972" s="117">
        <v>46051.71387600694</v>
      </c>
      <c r="B972" s="118">
        <v>46051.0</v>
      </c>
      <c r="C972" s="119" t="s">
        <v>831</v>
      </c>
      <c r="D972" s="119">
        <v>140.0</v>
      </c>
      <c r="E972" s="119" t="s">
        <v>687</v>
      </c>
      <c r="F972" s="119" t="s">
        <v>1081</v>
      </c>
    </row>
    <row r="973" ht="22.5" customHeight="1">
      <c r="A973" s="117">
        <v>46051.71427994213</v>
      </c>
      <c r="B973" s="118">
        <v>46051.0</v>
      </c>
      <c r="C973" s="119" t="s">
        <v>551</v>
      </c>
      <c r="D973" s="119">
        <v>2.2</v>
      </c>
      <c r="E973" s="119" t="s">
        <v>1073</v>
      </c>
      <c r="F973" s="119" t="s">
        <v>1081</v>
      </c>
    </row>
    <row r="974" ht="22.5" customHeight="1">
      <c r="A974" s="117">
        <v>46052.71637996528</v>
      </c>
      <c r="B974" s="118">
        <v>46052.0</v>
      </c>
      <c r="C974" s="119" t="s">
        <v>551</v>
      </c>
      <c r="D974" s="119">
        <v>2.2</v>
      </c>
      <c r="E974" s="119" t="s">
        <v>1073</v>
      </c>
      <c r="F974" s="119" t="s">
        <v>1081</v>
      </c>
    </row>
    <row r="975" ht="22.5" customHeight="1">
      <c r="A975" s="117">
        <v>46052.71675361111</v>
      </c>
      <c r="B975" s="118">
        <v>46052.0</v>
      </c>
      <c r="C975" s="119" t="s">
        <v>155</v>
      </c>
      <c r="D975" s="119">
        <v>2.5</v>
      </c>
      <c r="E975" s="119" t="s">
        <v>1073</v>
      </c>
      <c r="F975" s="119" t="s">
        <v>1081</v>
      </c>
    </row>
    <row r="976" ht="22.5" customHeight="1">
      <c r="A976" s="117">
        <v>46052.71710537037</v>
      </c>
      <c r="B976" s="118">
        <v>46052.0</v>
      </c>
      <c r="C976" s="119" t="s">
        <v>464</v>
      </c>
      <c r="D976" s="119" t="s">
        <v>1081</v>
      </c>
      <c r="E976" s="119" t="s">
        <v>1073</v>
      </c>
      <c r="F976" s="119" t="s">
        <v>1081</v>
      </c>
    </row>
    <row r="977" ht="22.5" customHeight="1">
      <c r="A977" s="117">
        <v>46052.71743314815</v>
      </c>
      <c r="B977" s="118">
        <v>46052.0</v>
      </c>
      <c r="C977" s="119" t="s">
        <v>831</v>
      </c>
      <c r="D977" s="119">
        <v>35.0</v>
      </c>
      <c r="E977" s="119" t="s">
        <v>687</v>
      </c>
      <c r="F977" s="119" t="s">
        <v>1081</v>
      </c>
    </row>
    <row r="978" ht="22.5" customHeight="1">
      <c r="A978" s="117">
        <v>46052.723616006944</v>
      </c>
      <c r="B978" s="118">
        <v>46052.0</v>
      </c>
      <c r="C978" s="119" t="s">
        <v>630</v>
      </c>
      <c r="D978" s="119">
        <v>5.2</v>
      </c>
      <c r="E978" s="119" t="s">
        <v>1073</v>
      </c>
      <c r="F978" s="119" t="s">
        <v>1098</v>
      </c>
    </row>
    <row r="979" ht="22.5" customHeight="1">
      <c r="A979" s="117">
        <v>46052.72394376158</v>
      </c>
      <c r="B979" s="118">
        <v>46052.0</v>
      </c>
      <c r="C979" s="119" t="s">
        <v>155</v>
      </c>
      <c r="D979" s="119">
        <v>0.3</v>
      </c>
      <c r="E979" s="119" t="s">
        <v>1073</v>
      </c>
      <c r="F979" s="119" t="s">
        <v>1098</v>
      </c>
    </row>
    <row r="980" ht="22.5" customHeight="1">
      <c r="A980" s="117">
        <v>46052.72427003473</v>
      </c>
      <c r="B980" s="118">
        <v>46052.0</v>
      </c>
      <c r="C980" s="119" t="s">
        <v>66</v>
      </c>
      <c r="D980" s="119">
        <v>20.0</v>
      </c>
      <c r="E980" s="119" t="s">
        <v>1073</v>
      </c>
      <c r="F980" s="119" t="s">
        <v>1098</v>
      </c>
    </row>
    <row r="981" ht="22.5" customHeight="1">
      <c r="A981" s="117">
        <v>46052.72455263889</v>
      </c>
      <c r="B981" s="118">
        <v>46052.0</v>
      </c>
      <c r="C981" s="119" t="s">
        <v>149</v>
      </c>
      <c r="D981" s="119">
        <v>66.0</v>
      </c>
      <c r="E981" s="119" t="s">
        <v>1073</v>
      </c>
      <c r="F981" s="119" t="s">
        <v>1098</v>
      </c>
    </row>
    <row r="982" ht="22.5" customHeight="1">
      <c r="A982" s="117">
        <v>46052.72486689815</v>
      </c>
      <c r="B982" s="118">
        <v>46052.0</v>
      </c>
      <c r="C982" s="119" t="s">
        <v>356</v>
      </c>
      <c r="D982" s="119">
        <v>27.5</v>
      </c>
      <c r="E982" s="119" t="s">
        <v>1073</v>
      </c>
      <c r="F982" s="119" t="s">
        <v>1098</v>
      </c>
    </row>
    <row r="983" ht="22.5" customHeight="1">
      <c r="A983" s="117">
        <v>46052.72550666667</v>
      </c>
      <c r="B983" s="118">
        <v>46052.0</v>
      </c>
      <c r="C983" s="119" t="s">
        <v>920</v>
      </c>
      <c r="D983" s="119">
        <v>2.5</v>
      </c>
      <c r="E983" s="119" t="s">
        <v>687</v>
      </c>
      <c r="F983" s="119" t="s">
        <v>1098</v>
      </c>
    </row>
    <row r="984" ht="22.5" customHeight="1">
      <c r="A984" s="117">
        <v>46052.72599358796</v>
      </c>
      <c r="B984" s="118">
        <v>46052.0</v>
      </c>
      <c r="C984" s="119" t="s">
        <v>817</v>
      </c>
      <c r="D984" s="119">
        <v>50.0</v>
      </c>
      <c r="E984" s="119" t="s">
        <v>687</v>
      </c>
      <c r="F984" s="119" t="s">
        <v>1098</v>
      </c>
    </row>
    <row r="985" ht="22.5" customHeight="1">
      <c r="A985" s="117">
        <v>46052.72627375</v>
      </c>
      <c r="B985" s="118">
        <v>46052.0</v>
      </c>
      <c r="C985" s="119" t="s">
        <v>823</v>
      </c>
      <c r="D985" s="119">
        <v>100.0</v>
      </c>
      <c r="E985" s="119" t="s">
        <v>687</v>
      </c>
      <c r="F985" s="119" t="s">
        <v>1098</v>
      </c>
    </row>
    <row r="986" ht="22.5" customHeight="1">
      <c r="A986" s="117">
        <v>46055.66534659722</v>
      </c>
      <c r="B986" s="118">
        <v>46055.0</v>
      </c>
      <c r="C986" s="119" t="s">
        <v>566</v>
      </c>
      <c r="D986" s="119">
        <v>2.0</v>
      </c>
      <c r="E986" s="119" t="s">
        <v>562</v>
      </c>
      <c r="F986" s="119" t="s">
        <v>1099</v>
      </c>
    </row>
    <row r="987" ht="22.5" customHeight="1">
      <c r="A987" s="117">
        <v>46055.66571180556</v>
      </c>
      <c r="B987" s="118">
        <v>46055.0</v>
      </c>
      <c r="C987" s="119" t="s">
        <v>572</v>
      </c>
      <c r="D987" s="119">
        <v>2.0</v>
      </c>
      <c r="E987" s="119" t="s">
        <v>562</v>
      </c>
      <c r="F987" s="119" t="s">
        <v>1099</v>
      </c>
    </row>
    <row r="988" ht="22.5" customHeight="1">
      <c r="A988" s="117">
        <v>46055.70859900463</v>
      </c>
      <c r="B988" s="118">
        <v>46055.0</v>
      </c>
      <c r="C988" s="119" t="s">
        <v>38</v>
      </c>
      <c r="D988" s="119">
        <v>15.0025</v>
      </c>
      <c r="E988" s="119" t="s">
        <v>1073</v>
      </c>
      <c r="F988" s="119" t="s">
        <v>1079</v>
      </c>
    </row>
    <row r="989" ht="22.5" customHeight="1">
      <c r="A989" s="117">
        <v>46055.70895894676</v>
      </c>
      <c r="B989" s="118">
        <v>46055.0</v>
      </c>
      <c r="C989" s="119" t="s">
        <v>576</v>
      </c>
      <c r="D989" s="119">
        <v>15.015</v>
      </c>
      <c r="E989" s="119" t="s">
        <v>1073</v>
      </c>
      <c r="F989" s="119" t="s">
        <v>1079</v>
      </c>
    </row>
    <row r="990" ht="22.5" customHeight="1">
      <c r="A990" s="117">
        <v>46055.709338148146</v>
      </c>
      <c r="B990" s="118">
        <v>46055.0</v>
      </c>
      <c r="C990" s="119" t="s">
        <v>817</v>
      </c>
      <c r="D990" s="119">
        <v>80.0</v>
      </c>
      <c r="E990" s="119" t="s">
        <v>687</v>
      </c>
      <c r="F990" s="119" t="s">
        <v>1079</v>
      </c>
    </row>
    <row r="991" ht="22.5" customHeight="1">
      <c r="A991" s="117">
        <v>46055.70971333333</v>
      </c>
      <c r="B991" s="118">
        <v>46055.0</v>
      </c>
      <c r="C991" s="119" t="s">
        <v>155</v>
      </c>
      <c r="D991" s="119">
        <v>0.82</v>
      </c>
      <c r="E991" s="119" t="s">
        <v>1073</v>
      </c>
      <c r="F991" s="119" t="s">
        <v>1079</v>
      </c>
    </row>
    <row r="992" ht="22.5" customHeight="1">
      <c r="A992" s="117">
        <v>46055.71013710648</v>
      </c>
      <c r="B992" s="118">
        <v>46055.0</v>
      </c>
      <c r="C992" s="119" t="s">
        <v>413</v>
      </c>
      <c r="D992" s="119">
        <v>0.2521</v>
      </c>
      <c r="E992" s="119" t="s">
        <v>1073</v>
      </c>
      <c r="F992" s="119" t="s">
        <v>1082</v>
      </c>
    </row>
    <row r="993" ht="22.5" customHeight="1">
      <c r="A993" s="117">
        <v>46055.71046974537</v>
      </c>
      <c r="B993" s="118">
        <v>46055.0</v>
      </c>
      <c r="C993" s="119" t="s">
        <v>582</v>
      </c>
      <c r="D993" s="119">
        <v>7.2</v>
      </c>
      <c r="E993" s="119" t="s">
        <v>1073</v>
      </c>
      <c r="F993" s="119" t="s">
        <v>1079</v>
      </c>
    </row>
    <row r="994" ht="22.5" customHeight="1">
      <c r="A994" s="117">
        <v>46055.875782511575</v>
      </c>
      <c r="B994" s="118">
        <v>46055.0</v>
      </c>
      <c r="C994" s="119" t="s">
        <v>191</v>
      </c>
      <c r="D994" s="119">
        <v>0.5</v>
      </c>
      <c r="E994" s="119" t="s">
        <v>1073</v>
      </c>
      <c r="F994" s="119" t="s">
        <v>1077</v>
      </c>
    </row>
    <row r="995" ht="22.5" customHeight="1">
      <c r="A995" s="117">
        <v>46055.87635707176</v>
      </c>
      <c r="B995" s="118">
        <v>46055.0</v>
      </c>
      <c r="C995" s="119" t="s">
        <v>274</v>
      </c>
      <c r="D995" s="119">
        <v>4.0</v>
      </c>
      <c r="E995" s="119" t="s">
        <v>1073</v>
      </c>
      <c r="F995" s="119" t="s">
        <v>1077</v>
      </c>
    </row>
    <row r="996" ht="22.5" customHeight="1">
      <c r="A996" s="117">
        <v>46055.877017604165</v>
      </c>
      <c r="B996" s="118">
        <v>46055.0</v>
      </c>
      <c r="C996" s="119" t="s">
        <v>844</v>
      </c>
      <c r="D996" s="119">
        <v>120.0</v>
      </c>
      <c r="E996" s="119" t="s">
        <v>687</v>
      </c>
      <c r="F996" s="119" t="s">
        <v>1077</v>
      </c>
    </row>
    <row r="997" ht="22.5" customHeight="1">
      <c r="A997" s="117">
        <v>46055.878082766205</v>
      </c>
      <c r="B997" s="118">
        <v>46055.0</v>
      </c>
      <c r="C997" s="119" t="s">
        <v>850</v>
      </c>
      <c r="D997" s="119">
        <v>400.0</v>
      </c>
      <c r="E997" s="119" t="s">
        <v>687</v>
      </c>
      <c r="F997" s="119" t="s">
        <v>1077</v>
      </c>
    </row>
    <row r="998" ht="22.5" customHeight="1">
      <c r="A998" s="117">
        <v>46055.87947049769</v>
      </c>
      <c r="B998" s="118">
        <v>46055.0</v>
      </c>
      <c r="C998" s="119" t="s">
        <v>331</v>
      </c>
      <c r="D998" s="119">
        <v>0.5</v>
      </c>
      <c r="E998" s="119" t="s">
        <v>1073</v>
      </c>
      <c r="F998" s="119" t="s">
        <v>1077</v>
      </c>
    </row>
    <row r="999" ht="22.5" customHeight="1">
      <c r="A999" s="117">
        <v>46055.88055628473</v>
      </c>
      <c r="B999" s="118">
        <v>46055.0</v>
      </c>
      <c r="C999" s="119" t="s">
        <v>888</v>
      </c>
      <c r="D999" s="119">
        <v>25.0</v>
      </c>
      <c r="E999" s="119" t="s">
        <v>687</v>
      </c>
      <c r="F999" s="119" t="s">
        <v>1077</v>
      </c>
    </row>
    <row r="1000" ht="22.5" customHeight="1">
      <c r="A1000" s="117">
        <v>46056.32375107639</v>
      </c>
      <c r="B1000" s="118">
        <v>46052.0</v>
      </c>
      <c r="C1000" s="119" t="s">
        <v>898</v>
      </c>
      <c r="D1000" s="119">
        <v>45.0</v>
      </c>
      <c r="E1000" s="119" t="s">
        <v>687</v>
      </c>
      <c r="F1000" s="119" t="s">
        <v>1076</v>
      </c>
    </row>
    <row r="1001" ht="22.5" customHeight="1">
      <c r="A1001" s="117">
        <v>46056.32401387731</v>
      </c>
      <c r="B1001" s="118">
        <v>46052.0</v>
      </c>
      <c r="C1001" s="119" t="s">
        <v>904</v>
      </c>
      <c r="D1001" s="119">
        <v>45.0</v>
      </c>
      <c r="E1001" s="119" t="s">
        <v>687</v>
      </c>
      <c r="F1001" s="119" t="s">
        <v>1076</v>
      </c>
    </row>
    <row r="1002" ht="22.5" customHeight="1">
      <c r="A1002" s="117">
        <v>46056.324273101854</v>
      </c>
      <c r="B1002" s="118">
        <v>46052.0</v>
      </c>
      <c r="C1002" s="119" t="s">
        <v>909</v>
      </c>
      <c r="D1002" s="119">
        <v>45.0</v>
      </c>
      <c r="E1002" s="119" t="s">
        <v>687</v>
      </c>
      <c r="F1002" s="119" t="s">
        <v>1076</v>
      </c>
    </row>
    <row r="1003" ht="22.5" customHeight="1">
      <c r="A1003" s="117">
        <v>46056.324716863426</v>
      </c>
      <c r="B1003" s="118">
        <v>46055.0</v>
      </c>
      <c r="C1003" s="119" t="s">
        <v>882</v>
      </c>
      <c r="D1003" s="119">
        <v>15.0</v>
      </c>
      <c r="E1003" s="119" t="s">
        <v>687</v>
      </c>
      <c r="F1003" s="119" t="s">
        <v>1076</v>
      </c>
    </row>
    <row r="1004" ht="22.5" customHeight="1">
      <c r="A1004" s="117">
        <v>46056.32514042824</v>
      </c>
      <c r="B1004" s="118">
        <v>46055.0</v>
      </c>
      <c r="C1004" s="119" t="s">
        <v>991</v>
      </c>
      <c r="D1004" s="119">
        <v>1.25</v>
      </c>
      <c r="E1004" s="119" t="s">
        <v>687</v>
      </c>
      <c r="F1004" s="119" t="s">
        <v>1076</v>
      </c>
    </row>
    <row r="1005" ht="22.5" customHeight="1">
      <c r="A1005" s="117">
        <v>46056.424209247685</v>
      </c>
      <c r="B1005" s="118">
        <v>46056.0</v>
      </c>
      <c r="C1005" s="119" t="s">
        <v>606</v>
      </c>
      <c r="D1005" s="119">
        <v>12.0</v>
      </c>
      <c r="E1005" s="119" t="s">
        <v>1073</v>
      </c>
      <c r="F1005" s="119" t="s">
        <v>1079</v>
      </c>
    </row>
    <row r="1006" ht="22.5" customHeight="1">
      <c r="A1006" s="117">
        <v>46056.42449104167</v>
      </c>
      <c r="B1006" s="118">
        <v>46056.0</v>
      </c>
      <c r="C1006" s="119" t="s">
        <v>155</v>
      </c>
      <c r="D1006" s="119">
        <v>1.61</v>
      </c>
      <c r="E1006" s="119" t="s">
        <v>1073</v>
      </c>
      <c r="F1006" s="119" t="s">
        <v>1079</v>
      </c>
    </row>
    <row r="1007" ht="22.5" customHeight="1">
      <c r="A1007" s="117">
        <v>46056.424940428245</v>
      </c>
      <c r="B1007" s="118">
        <v>46056.0</v>
      </c>
      <c r="C1007" s="119" t="s">
        <v>413</v>
      </c>
      <c r="D1007" s="119">
        <v>0.51</v>
      </c>
      <c r="E1007" s="119" t="s">
        <v>1073</v>
      </c>
      <c r="F1007" s="119" t="s">
        <v>1079</v>
      </c>
    </row>
    <row r="1008" ht="22.5" customHeight="1">
      <c r="A1008" s="117">
        <v>46056.59866121528</v>
      </c>
      <c r="B1008" s="118">
        <v>46056.0</v>
      </c>
      <c r="C1008" s="119" t="s">
        <v>566</v>
      </c>
      <c r="D1008" s="119">
        <v>2.0</v>
      </c>
      <c r="E1008" s="119" t="s">
        <v>562</v>
      </c>
      <c r="F1008" s="119" t="s">
        <v>1099</v>
      </c>
    </row>
    <row r="1009" ht="22.5" customHeight="1">
      <c r="A1009" s="117">
        <v>46056.599090358795</v>
      </c>
      <c r="B1009" s="118">
        <v>46056.0</v>
      </c>
      <c r="C1009" s="119" t="s">
        <v>572</v>
      </c>
      <c r="D1009" s="119">
        <v>2.0</v>
      </c>
      <c r="E1009" s="119" t="s">
        <v>562</v>
      </c>
      <c r="F1009" s="119" t="s">
        <v>1099</v>
      </c>
    </row>
    <row r="1010" ht="22.5" customHeight="1">
      <c r="A1010" s="117">
        <v>46056.67527460648</v>
      </c>
      <c r="B1010" s="118">
        <v>46055.0</v>
      </c>
      <c r="C1010" s="119" t="s">
        <v>811</v>
      </c>
      <c r="D1010" s="119">
        <v>1.0</v>
      </c>
      <c r="E1010" s="119" t="s">
        <v>687</v>
      </c>
      <c r="F1010" s="119" t="s">
        <v>1090</v>
      </c>
    </row>
    <row r="1011" ht="22.5" customHeight="1">
      <c r="A1011" s="117">
        <v>46056.675668854165</v>
      </c>
      <c r="B1011" s="118">
        <v>46055.0</v>
      </c>
      <c r="C1011" s="119" t="s">
        <v>781</v>
      </c>
      <c r="D1011" s="119">
        <v>1.0</v>
      </c>
      <c r="E1011" s="119" t="s">
        <v>687</v>
      </c>
      <c r="F1011" s="119" t="s">
        <v>1090</v>
      </c>
    </row>
    <row r="1012" ht="22.5" customHeight="1">
      <c r="A1012" s="117">
        <v>46056.87287525463</v>
      </c>
      <c r="B1012" s="118">
        <v>46056.0</v>
      </c>
      <c r="C1012" s="119" t="s">
        <v>191</v>
      </c>
      <c r="D1012" s="119">
        <v>0.5</v>
      </c>
      <c r="E1012" s="119" t="s">
        <v>1073</v>
      </c>
      <c r="F1012" s="119" t="s">
        <v>1077</v>
      </c>
    </row>
    <row r="1013" ht="22.5" customHeight="1">
      <c r="A1013" s="117">
        <v>46056.87318173611</v>
      </c>
      <c r="B1013" s="118">
        <v>46056.0</v>
      </c>
      <c r="C1013" s="119" t="s">
        <v>155</v>
      </c>
      <c r="D1013" s="119">
        <v>2.5</v>
      </c>
      <c r="E1013" s="119" t="s">
        <v>1073</v>
      </c>
      <c r="F1013" s="119" t="s">
        <v>1077</v>
      </c>
    </row>
    <row r="1014" ht="22.5" customHeight="1">
      <c r="A1014" s="117">
        <v>46056.87348313657</v>
      </c>
      <c r="B1014" s="118">
        <v>46056.0</v>
      </c>
      <c r="C1014" s="119" t="s">
        <v>464</v>
      </c>
      <c r="D1014" s="119">
        <v>10.0</v>
      </c>
      <c r="E1014" s="119" t="s">
        <v>1073</v>
      </c>
      <c r="F1014" s="119" t="s">
        <v>1077</v>
      </c>
    </row>
    <row r="1015" ht="22.5" customHeight="1">
      <c r="A1015" s="117">
        <v>46056.87393673611</v>
      </c>
      <c r="B1015" s="118">
        <v>46056.0</v>
      </c>
      <c r="C1015" s="119" t="s">
        <v>551</v>
      </c>
      <c r="D1015" s="119">
        <v>1.0</v>
      </c>
      <c r="E1015" s="119" t="s">
        <v>1073</v>
      </c>
      <c r="F1015" s="119" t="s">
        <v>1077</v>
      </c>
    </row>
    <row r="1016" ht="22.5" customHeight="1">
      <c r="A1016" s="117">
        <v>46056.87429953704</v>
      </c>
      <c r="B1016" s="118">
        <v>46056.0</v>
      </c>
      <c r="C1016" s="119" t="s">
        <v>582</v>
      </c>
      <c r="D1016" s="119">
        <v>0.5</v>
      </c>
      <c r="E1016" s="119" t="s">
        <v>1073</v>
      </c>
      <c r="F1016" s="119" t="s">
        <v>1077</v>
      </c>
    </row>
    <row r="1017" ht="22.5" customHeight="1">
      <c r="A1017" s="117">
        <v>46056.87504461806</v>
      </c>
      <c r="B1017" s="118">
        <v>46056.0</v>
      </c>
      <c r="C1017" s="119" t="s">
        <v>850</v>
      </c>
      <c r="D1017" s="119">
        <v>100.0</v>
      </c>
      <c r="E1017" s="119" t="s">
        <v>687</v>
      </c>
      <c r="F1017" s="119" t="s">
        <v>1077</v>
      </c>
    </row>
    <row r="1018" ht="22.5" customHeight="1">
      <c r="A1018" s="117">
        <v>46056.87550591435</v>
      </c>
      <c r="B1018" s="118">
        <v>46056.0</v>
      </c>
      <c r="C1018" s="119" t="s">
        <v>831</v>
      </c>
      <c r="D1018" s="119">
        <v>290.0</v>
      </c>
      <c r="E1018" s="119" t="s">
        <v>687</v>
      </c>
      <c r="F1018" s="119" t="s">
        <v>1077</v>
      </c>
    </row>
    <row r="1019" ht="22.5" customHeight="1">
      <c r="A1019" s="117">
        <v>46056.87790211805</v>
      </c>
      <c r="B1019" s="118">
        <v>46056.0</v>
      </c>
      <c r="C1019" s="119" t="s">
        <v>331</v>
      </c>
      <c r="D1019" s="119">
        <v>2.0</v>
      </c>
      <c r="E1019" s="119" t="s">
        <v>1073</v>
      </c>
      <c r="F1019" s="119" t="s">
        <v>1100</v>
      </c>
    </row>
    <row r="1020" ht="22.5" customHeight="1">
      <c r="A1020" s="117">
        <v>46058.33656340278</v>
      </c>
      <c r="B1020" s="118">
        <v>46056.0</v>
      </c>
      <c r="C1020" s="119" t="s">
        <v>882</v>
      </c>
      <c r="D1020" s="119">
        <v>5.0</v>
      </c>
      <c r="E1020" s="119" t="s">
        <v>687</v>
      </c>
      <c r="F1020" s="119" t="s">
        <v>1076</v>
      </c>
    </row>
    <row r="1021" ht="22.5" customHeight="1">
      <c r="A1021" s="117">
        <v>46058.33747480324</v>
      </c>
      <c r="B1021" s="118">
        <v>46056.0</v>
      </c>
      <c r="C1021" s="119" t="s">
        <v>501</v>
      </c>
      <c r="D1021" s="119">
        <v>0.25</v>
      </c>
      <c r="E1021" s="119" t="s">
        <v>1073</v>
      </c>
      <c r="F1021" s="119" t="s">
        <v>1076</v>
      </c>
    </row>
    <row r="1022" ht="22.5" customHeight="1">
      <c r="A1022" s="117">
        <v>46058.339087534725</v>
      </c>
      <c r="B1022" s="118">
        <v>46056.0</v>
      </c>
      <c r="C1022" s="119" t="s">
        <v>963</v>
      </c>
      <c r="D1022" s="119">
        <v>1.0</v>
      </c>
      <c r="E1022" s="119" t="s">
        <v>687</v>
      </c>
      <c r="F1022" s="119" t="s">
        <v>1090</v>
      </c>
    </row>
    <row r="1023" ht="22.5" customHeight="1">
      <c r="A1023" s="117">
        <v>46058.33962559028</v>
      </c>
      <c r="B1023" s="118">
        <v>46056.0</v>
      </c>
      <c r="C1023" s="119" t="s">
        <v>155</v>
      </c>
      <c r="D1023" s="119">
        <v>9.0</v>
      </c>
      <c r="E1023" s="119" t="s">
        <v>1073</v>
      </c>
      <c r="F1023" s="119" t="s">
        <v>1090</v>
      </c>
    </row>
    <row r="1024" ht="22.5" customHeight="1">
      <c r="A1024" s="117">
        <v>46058.340049039354</v>
      </c>
      <c r="B1024" s="118">
        <v>46056.0</v>
      </c>
      <c r="C1024" s="119" t="s">
        <v>831</v>
      </c>
      <c r="D1024" s="119">
        <v>12.0</v>
      </c>
      <c r="E1024" s="119" t="s">
        <v>687</v>
      </c>
      <c r="F1024" s="119" t="s">
        <v>1090</v>
      </c>
    </row>
    <row r="1025" ht="22.5" customHeight="1">
      <c r="A1025" s="117">
        <v>46058.34056190972</v>
      </c>
      <c r="B1025" s="118">
        <v>46056.0</v>
      </c>
      <c r="C1025" s="119" t="s">
        <v>1006</v>
      </c>
      <c r="D1025" s="119">
        <v>60.0</v>
      </c>
      <c r="E1025" s="119" t="s">
        <v>687</v>
      </c>
      <c r="F1025" s="119" t="s">
        <v>1090</v>
      </c>
    </row>
    <row r="1026" ht="22.5" customHeight="1">
      <c r="A1026" s="117">
        <v>46058.341003124995</v>
      </c>
      <c r="B1026" s="118">
        <v>46055.0</v>
      </c>
      <c r="C1026" s="119" t="s">
        <v>715</v>
      </c>
      <c r="D1026" s="119">
        <v>1.0</v>
      </c>
      <c r="E1026" s="119" t="s">
        <v>687</v>
      </c>
      <c r="F1026" s="119" t="s">
        <v>1090</v>
      </c>
    </row>
    <row r="1027" ht="22.5" customHeight="1">
      <c r="A1027" s="117">
        <v>46058.341277037034</v>
      </c>
      <c r="B1027" s="118">
        <v>46055.0</v>
      </c>
      <c r="C1027" s="119" t="s">
        <v>775</v>
      </c>
      <c r="D1027" s="119">
        <v>1.0</v>
      </c>
      <c r="E1027" s="119" t="s">
        <v>687</v>
      </c>
      <c r="F1027" s="119" t="s">
        <v>1090</v>
      </c>
    </row>
    <row r="1028" ht="22.5" customHeight="1">
      <c r="A1028" s="117">
        <v>46058.34159380787</v>
      </c>
      <c r="B1028" s="118">
        <v>46055.0</v>
      </c>
      <c r="C1028" s="119" t="s">
        <v>683</v>
      </c>
      <c r="D1028" s="119">
        <v>1.0</v>
      </c>
      <c r="E1028" s="119" t="s">
        <v>687</v>
      </c>
      <c r="F1028" s="119" t="s">
        <v>1090</v>
      </c>
    </row>
    <row r="1029" ht="22.5" customHeight="1">
      <c r="A1029" s="117">
        <v>46058.34210179398</v>
      </c>
      <c r="B1029" s="118">
        <v>46055.0</v>
      </c>
      <c r="C1029" s="119" t="s">
        <v>745</v>
      </c>
      <c r="D1029" s="119">
        <v>1.0</v>
      </c>
      <c r="E1029" s="119" t="s">
        <v>687</v>
      </c>
      <c r="F1029" s="119" t="s">
        <v>1090</v>
      </c>
    </row>
    <row r="1030" ht="22.5" customHeight="1">
      <c r="A1030" s="117">
        <v>46058.34240451389</v>
      </c>
      <c r="B1030" s="118">
        <v>46055.0</v>
      </c>
      <c r="C1030" s="119" t="s">
        <v>769</v>
      </c>
      <c r="D1030" s="119">
        <v>1.0</v>
      </c>
      <c r="E1030" s="119" t="s">
        <v>687</v>
      </c>
      <c r="F1030" s="119" t="s">
        <v>1090</v>
      </c>
    </row>
    <row r="1031" ht="22.5" customHeight="1">
      <c r="A1031" s="117">
        <v>46058.34269318287</v>
      </c>
      <c r="B1031" s="118">
        <v>46055.0</v>
      </c>
      <c r="C1031" s="119" t="s">
        <v>697</v>
      </c>
      <c r="D1031" s="119">
        <v>1.0</v>
      </c>
      <c r="E1031" s="119" t="s">
        <v>687</v>
      </c>
      <c r="F1031" s="119" t="s">
        <v>1090</v>
      </c>
    </row>
    <row r="1032" ht="22.5" customHeight="1">
      <c r="A1032" s="117">
        <v>46058.34298341435</v>
      </c>
      <c r="B1032" s="118">
        <v>46055.0</v>
      </c>
      <c r="C1032" s="119" t="s">
        <v>691</v>
      </c>
      <c r="D1032" s="119">
        <v>1.0</v>
      </c>
      <c r="E1032" s="119" t="s">
        <v>687</v>
      </c>
      <c r="F1032" s="119" t="s">
        <v>1090</v>
      </c>
    </row>
    <row r="1033" ht="22.5" customHeight="1">
      <c r="A1033" s="117">
        <v>46058.343295150466</v>
      </c>
      <c r="B1033" s="118">
        <v>46055.0</v>
      </c>
      <c r="C1033" s="119" t="s">
        <v>938</v>
      </c>
      <c r="D1033" s="119">
        <v>1.0</v>
      </c>
      <c r="E1033" s="119" t="s">
        <v>687</v>
      </c>
      <c r="F1033" s="119" t="s">
        <v>1090</v>
      </c>
    </row>
    <row r="1034" ht="22.5" customHeight="1">
      <c r="A1034" s="117">
        <v>46058.343527881945</v>
      </c>
      <c r="B1034" s="118">
        <v>46055.0</v>
      </c>
      <c r="C1034" s="119" t="s">
        <v>763</v>
      </c>
      <c r="D1034" s="119">
        <v>1.0</v>
      </c>
      <c r="E1034" s="119" t="s">
        <v>687</v>
      </c>
      <c r="F1034" s="119" t="s">
        <v>1090</v>
      </c>
    </row>
    <row r="1035" ht="22.5" customHeight="1">
      <c r="A1035" s="117">
        <v>46058.34383155093</v>
      </c>
      <c r="B1035" s="118">
        <v>46055.0</v>
      </c>
      <c r="C1035" s="119" t="s">
        <v>757</v>
      </c>
      <c r="D1035" s="119">
        <v>1.0</v>
      </c>
      <c r="E1035" s="119" t="s">
        <v>687</v>
      </c>
      <c r="F1035" s="119" t="s">
        <v>1090</v>
      </c>
    </row>
    <row r="1036" ht="22.5" customHeight="1">
      <c r="A1036" s="117">
        <v>46058.34420042824</v>
      </c>
      <c r="B1036" s="118">
        <v>46055.0</v>
      </c>
      <c r="C1036" s="119" t="s">
        <v>733</v>
      </c>
      <c r="D1036" s="119">
        <v>1.0</v>
      </c>
      <c r="E1036" s="119" t="s">
        <v>687</v>
      </c>
      <c r="F1036" s="119" t="s">
        <v>1090</v>
      </c>
    </row>
    <row r="1037" ht="22.5" customHeight="1">
      <c r="A1037" s="117">
        <v>46058.34450356482</v>
      </c>
      <c r="B1037" s="118">
        <v>46055.0</v>
      </c>
      <c r="C1037" s="119" t="s">
        <v>721</v>
      </c>
      <c r="D1037" s="119">
        <v>1.0</v>
      </c>
      <c r="E1037" s="119" t="s">
        <v>687</v>
      </c>
      <c r="F1037" s="119" t="s">
        <v>1090</v>
      </c>
    </row>
    <row r="1038" ht="22.5" customHeight="1">
      <c r="A1038" s="117">
        <v>46058.34485775463</v>
      </c>
      <c r="B1038" s="118">
        <v>46055.0</v>
      </c>
      <c r="C1038" s="119" t="s">
        <v>974</v>
      </c>
      <c r="D1038" s="119">
        <v>1.0</v>
      </c>
      <c r="E1038" s="119" t="s">
        <v>687</v>
      </c>
      <c r="F1038" s="119" t="s">
        <v>1090</v>
      </c>
    </row>
    <row r="1039" ht="22.5" customHeight="1">
      <c r="A1039" s="117">
        <v>46058.34508679398</v>
      </c>
      <c r="B1039" s="118">
        <v>46055.0</v>
      </c>
      <c r="C1039" s="119" t="s">
        <v>786</v>
      </c>
      <c r="D1039" s="119">
        <v>1.0</v>
      </c>
      <c r="E1039" s="119" t="s">
        <v>687</v>
      </c>
      <c r="F1039" s="119" t="s">
        <v>1090</v>
      </c>
    </row>
    <row r="1040" ht="22.5" customHeight="1">
      <c r="A1040" s="117">
        <v>46058.34539958333</v>
      </c>
      <c r="B1040" s="118">
        <v>46055.0</v>
      </c>
      <c r="C1040" s="119" t="s">
        <v>703</v>
      </c>
      <c r="D1040" s="119">
        <v>1.0</v>
      </c>
      <c r="E1040" s="119" t="s">
        <v>687</v>
      </c>
      <c r="F1040" s="119" t="s">
        <v>1090</v>
      </c>
    </row>
    <row r="1041" ht="22.5" customHeight="1">
      <c r="A1041" s="117">
        <v>46058.345630208336</v>
      </c>
      <c r="B1041" s="118">
        <v>46055.0</v>
      </c>
      <c r="C1041" s="119" t="s">
        <v>739</v>
      </c>
      <c r="D1041" s="119">
        <v>1.0</v>
      </c>
      <c r="E1041" s="119" t="s">
        <v>687</v>
      </c>
      <c r="F1041" s="119" t="s">
        <v>1090</v>
      </c>
    </row>
    <row r="1042" ht="22.5" customHeight="1">
      <c r="A1042" s="117">
        <v>46058.39724898148</v>
      </c>
      <c r="B1042" s="118">
        <v>46056.0</v>
      </c>
      <c r="C1042" s="119" t="s">
        <v>837</v>
      </c>
      <c r="D1042" s="119">
        <v>100.0</v>
      </c>
      <c r="E1042" s="119" t="s">
        <v>687</v>
      </c>
      <c r="F1042" s="119" t="s">
        <v>1076</v>
      </c>
    </row>
    <row r="1043" ht="22.5" customHeight="1">
      <c r="A1043" s="117">
        <v>46058.5589469213</v>
      </c>
      <c r="B1043" s="118">
        <v>46058.0</v>
      </c>
      <c r="C1043" s="119" t="s">
        <v>831</v>
      </c>
      <c r="D1043" s="119">
        <v>75.0</v>
      </c>
      <c r="E1043" s="119" t="s">
        <v>687</v>
      </c>
      <c r="F1043" s="119" t="s">
        <v>1079</v>
      </c>
    </row>
    <row r="1044" ht="22.5" customHeight="1">
      <c r="A1044" s="117">
        <v>46058.55965347222</v>
      </c>
      <c r="B1044" s="118">
        <v>46058.0</v>
      </c>
      <c r="C1044" s="119" t="s">
        <v>155</v>
      </c>
      <c r="D1044" s="119">
        <v>3.5</v>
      </c>
      <c r="E1044" s="119" t="s">
        <v>1073</v>
      </c>
      <c r="F1044" s="119" t="s">
        <v>1079</v>
      </c>
    </row>
    <row r="1045" ht="22.5" customHeight="1">
      <c r="A1045" s="117">
        <v>46058.560021840276</v>
      </c>
      <c r="B1045" s="118">
        <v>46058.0</v>
      </c>
      <c r="C1045" s="119" t="s">
        <v>464</v>
      </c>
      <c r="D1045" s="119">
        <v>10.0</v>
      </c>
      <c r="E1045" s="119" t="s">
        <v>1073</v>
      </c>
      <c r="F1045" s="119" t="s">
        <v>1079</v>
      </c>
    </row>
    <row r="1046" ht="22.5" customHeight="1">
      <c r="A1046" s="117">
        <v>46058.561159178236</v>
      </c>
      <c r="B1046" s="118">
        <v>46058.0</v>
      </c>
      <c r="C1046" s="119" t="s">
        <v>413</v>
      </c>
      <c r="D1046" s="119">
        <v>0.25</v>
      </c>
      <c r="E1046" s="119" t="s">
        <v>1073</v>
      </c>
      <c r="F1046" s="119" t="s">
        <v>1079</v>
      </c>
    </row>
    <row r="1047" ht="22.5" customHeight="1">
      <c r="A1047" s="117">
        <v>46058.63962310185</v>
      </c>
      <c r="B1047" s="118">
        <v>46058.0</v>
      </c>
      <c r="C1047" s="119" t="s">
        <v>566</v>
      </c>
      <c r="D1047" s="119">
        <v>2.0</v>
      </c>
      <c r="E1047" s="119" t="s">
        <v>562</v>
      </c>
      <c r="F1047" s="119" t="s">
        <v>1099</v>
      </c>
    </row>
    <row r="1048" ht="22.5" customHeight="1">
      <c r="A1048" s="117">
        <v>46058.6398646875</v>
      </c>
      <c r="B1048" s="118">
        <v>46058.0</v>
      </c>
      <c r="C1048" s="119" t="s">
        <v>572</v>
      </c>
      <c r="D1048" s="119">
        <v>2.0</v>
      </c>
      <c r="E1048" s="119" t="s">
        <v>562</v>
      </c>
      <c r="F1048" s="119" t="s">
        <v>1099</v>
      </c>
    </row>
    <row r="1049" ht="22.5" customHeight="1">
      <c r="A1049" s="117">
        <v>46058.65397417824</v>
      </c>
      <c r="B1049" s="118">
        <v>46058.0</v>
      </c>
      <c r="C1049" s="119" t="s">
        <v>882</v>
      </c>
      <c r="D1049" s="119">
        <v>35.0</v>
      </c>
      <c r="E1049" s="119" t="s">
        <v>687</v>
      </c>
      <c r="F1049" s="119" t="s">
        <v>1076</v>
      </c>
    </row>
    <row r="1050" ht="22.5" customHeight="1">
      <c r="A1050" s="117">
        <v>46058.654309895835</v>
      </c>
      <c r="B1050" s="118">
        <v>46058.0</v>
      </c>
      <c r="C1050" s="119" t="s">
        <v>211</v>
      </c>
      <c r="D1050" s="119">
        <v>0.07</v>
      </c>
      <c r="E1050" s="119" t="s">
        <v>1073</v>
      </c>
      <c r="F1050" s="119" t="s">
        <v>1076</v>
      </c>
    </row>
    <row r="1051" ht="22.5" customHeight="1">
      <c r="A1051" s="117">
        <v>46058.65473872685</v>
      </c>
      <c r="B1051" s="118">
        <v>46058.0</v>
      </c>
      <c r="C1051" s="119" t="s">
        <v>155</v>
      </c>
      <c r="D1051" s="119">
        <v>27.0</v>
      </c>
      <c r="E1051" s="119" t="s">
        <v>1073</v>
      </c>
      <c r="F1051" s="119" t="s">
        <v>1076</v>
      </c>
    </row>
    <row r="1052" ht="22.5" customHeight="1">
      <c r="A1052" s="117">
        <v>46058.86401193287</v>
      </c>
      <c r="B1052" s="118">
        <v>46058.0</v>
      </c>
      <c r="C1052" s="119" t="s">
        <v>18</v>
      </c>
      <c r="D1052" s="119">
        <v>0.958</v>
      </c>
      <c r="E1052" s="119" t="s">
        <v>1073</v>
      </c>
      <c r="F1052" s="119" t="s">
        <v>1077</v>
      </c>
    </row>
    <row r="1053" ht="22.5" customHeight="1">
      <c r="A1053" s="117">
        <v>46058.86432540509</v>
      </c>
      <c r="B1053" s="118">
        <v>46058.0</v>
      </c>
      <c r="C1053" s="119" t="s">
        <v>218</v>
      </c>
      <c r="D1053" s="119">
        <v>0.266</v>
      </c>
      <c r="E1053" s="119" t="s">
        <v>1073</v>
      </c>
      <c r="F1053" s="119" t="s">
        <v>1077</v>
      </c>
    </row>
    <row r="1054" ht="22.5" customHeight="1">
      <c r="A1054" s="117">
        <v>46058.86463115741</v>
      </c>
      <c r="B1054" s="118">
        <v>46058.0</v>
      </c>
      <c r="C1054" s="119" t="s">
        <v>709</v>
      </c>
      <c r="D1054" s="119">
        <v>1.0</v>
      </c>
      <c r="E1054" s="119" t="s">
        <v>687</v>
      </c>
      <c r="F1054" s="119" t="s">
        <v>1077</v>
      </c>
    </row>
    <row r="1055" ht="22.5" customHeight="1">
      <c r="A1055" s="117">
        <v>46058.86487630787</v>
      </c>
      <c r="B1055" s="118">
        <v>46058.0</v>
      </c>
      <c r="C1055" s="119" t="s">
        <v>831</v>
      </c>
      <c r="D1055" s="119">
        <v>785.0</v>
      </c>
      <c r="E1055" s="119" t="s">
        <v>687</v>
      </c>
      <c r="F1055" s="119" t="s">
        <v>1077</v>
      </c>
    </row>
    <row r="1056" ht="22.5" customHeight="1">
      <c r="A1056" s="117">
        <v>46059.59312289352</v>
      </c>
      <c r="B1056" s="118">
        <v>46059.0</v>
      </c>
      <c r="C1056" s="119" t="s">
        <v>470</v>
      </c>
      <c r="D1056" s="119">
        <v>4.0</v>
      </c>
      <c r="E1056" s="119" t="s">
        <v>1073</v>
      </c>
      <c r="F1056" s="119" t="s">
        <v>1099</v>
      </c>
    </row>
    <row r="1057" ht="22.5" customHeight="1">
      <c r="A1057" s="117">
        <v>46062.5817902662</v>
      </c>
      <c r="B1057" s="118">
        <v>46062.0</v>
      </c>
      <c r="C1057" s="119" t="s">
        <v>155</v>
      </c>
      <c r="D1057" s="119">
        <v>1.045</v>
      </c>
      <c r="E1057" s="119" t="s">
        <v>1073</v>
      </c>
      <c r="F1057" s="119" t="s">
        <v>1079</v>
      </c>
    </row>
    <row r="1058" ht="22.5" customHeight="1">
      <c r="A1058" s="117">
        <v>46062.582386875</v>
      </c>
      <c r="B1058" s="118">
        <v>46062.0</v>
      </c>
      <c r="C1058" s="119" t="s">
        <v>464</v>
      </c>
      <c r="D1058" s="119">
        <v>4.13</v>
      </c>
      <c r="E1058" s="119" t="s">
        <v>1073</v>
      </c>
      <c r="F1058" s="119" t="s">
        <v>1079</v>
      </c>
    </row>
    <row r="1059" ht="22.5" customHeight="1">
      <c r="A1059" s="117">
        <v>46062.58265033565</v>
      </c>
      <c r="B1059" s="118">
        <v>46062.0</v>
      </c>
      <c r="C1059" s="119" t="s">
        <v>831</v>
      </c>
      <c r="D1059" s="119">
        <v>17.5</v>
      </c>
      <c r="E1059" s="119" t="s">
        <v>687</v>
      </c>
      <c r="F1059" s="119" t="s">
        <v>1079</v>
      </c>
    </row>
    <row r="1060" ht="22.5" customHeight="1">
      <c r="A1060" s="117">
        <v>46062.62925068287</v>
      </c>
      <c r="B1060" s="118">
        <v>46062.0</v>
      </c>
      <c r="C1060" s="119" t="s">
        <v>831</v>
      </c>
      <c r="D1060" s="119">
        <v>10.0</v>
      </c>
      <c r="E1060" s="119" t="s">
        <v>687</v>
      </c>
      <c r="F1060" s="119" t="s">
        <v>1076</v>
      </c>
    </row>
    <row r="1061" ht="22.5" customHeight="1">
      <c r="A1061" s="117">
        <v>46062.62957833333</v>
      </c>
      <c r="B1061" s="118">
        <v>46059.0</v>
      </c>
      <c r="C1061" s="119" t="s">
        <v>882</v>
      </c>
      <c r="D1061" s="119">
        <v>30.0</v>
      </c>
      <c r="E1061" s="119" t="s">
        <v>687</v>
      </c>
      <c r="F1061" s="119" t="s">
        <v>1076</v>
      </c>
    </row>
    <row r="1062" ht="22.5" customHeight="1">
      <c r="A1062" s="117">
        <v>46062.63036914352</v>
      </c>
      <c r="B1062" s="118">
        <v>46059.0</v>
      </c>
      <c r="C1062" s="119" t="s">
        <v>888</v>
      </c>
      <c r="D1062" s="119">
        <v>20.0</v>
      </c>
      <c r="E1062" s="119" t="s">
        <v>687</v>
      </c>
      <c r="F1062" s="119" t="s">
        <v>1076</v>
      </c>
    </row>
    <row r="1063" ht="22.5" customHeight="1">
      <c r="A1063" s="117">
        <v>46062.63744237268</v>
      </c>
      <c r="B1063" s="118">
        <v>46062.0</v>
      </c>
      <c r="C1063" s="119" t="s">
        <v>769</v>
      </c>
      <c r="D1063" s="119">
        <v>5.0</v>
      </c>
      <c r="E1063" s="119" t="s">
        <v>687</v>
      </c>
      <c r="F1063" s="119" t="s">
        <v>1076</v>
      </c>
    </row>
    <row r="1064" ht="22.5" customHeight="1">
      <c r="A1064" s="117">
        <v>46062.64315164352</v>
      </c>
      <c r="B1064" s="118">
        <v>46062.0</v>
      </c>
      <c r="C1064" s="119" t="s">
        <v>566</v>
      </c>
      <c r="D1064" s="119">
        <v>3.0</v>
      </c>
      <c r="E1064" s="119" t="s">
        <v>562</v>
      </c>
      <c r="F1064" s="119" t="s">
        <v>1099</v>
      </c>
    </row>
    <row r="1065" ht="22.5" customHeight="1">
      <c r="A1065" s="117">
        <v>46062.6434965625</v>
      </c>
      <c r="B1065" s="118">
        <v>46062.0</v>
      </c>
      <c r="C1065" s="119" t="s">
        <v>311</v>
      </c>
      <c r="D1065" s="119">
        <v>0.825</v>
      </c>
      <c r="E1065" s="119" t="s">
        <v>1073</v>
      </c>
      <c r="F1065" s="119" t="s">
        <v>1098</v>
      </c>
    </row>
    <row r="1066" ht="22.5" customHeight="1">
      <c r="A1066" s="117">
        <v>46062.643528263885</v>
      </c>
      <c r="B1066" s="118">
        <v>46062.0</v>
      </c>
      <c r="C1066" s="119" t="s">
        <v>572</v>
      </c>
      <c r="D1066" s="119">
        <v>3.0</v>
      </c>
      <c r="E1066" s="119" t="s">
        <v>562</v>
      </c>
      <c r="F1066" s="119" t="s">
        <v>1099</v>
      </c>
    </row>
    <row r="1067" ht="22.5" customHeight="1">
      <c r="A1067" s="117">
        <v>46062.64410392361</v>
      </c>
      <c r="B1067" s="118">
        <v>46062.0</v>
      </c>
      <c r="C1067" s="119" t="s">
        <v>544</v>
      </c>
      <c r="D1067" s="119">
        <v>2.395</v>
      </c>
      <c r="E1067" s="119" t="s">
        <v>1073</v>
      </c>
      <c r="F1067" s="119" t="s">
        <v>1098</v>
      </c>
    </row>
    <row r="1068" ht="22.5" customHeight="1">
      <c r="A1068" s="117">
        <v>46062.644824131945</v>
      </c>
      <c r="B1068" s="118">
        <v>46062.0</v>
      </c>
      <c r="C1068" s="119" t="s">
        <v>94</v>
      </c>
      <c r="D1068" s="119">
        <v>50.0</v>
      </c>
      <c r="E1068" s="119" t="s">
        <v>1073</v>
      </c>
      <c r="F1068" s="119" t="s">
        <v>1098</v>
      </c>
    </row>
    <row r="1069" ht="22.5" customHeight="1">
      <c r="A1069" s="117">
        <v>46062.64528603009</v>
      </c>
      <c r="B1069" s="118">
        <v>46062.0</v>
      </c>
      <c r="C1069" s="119" t="s">
        <v>823</v>
      </c>
      <c r="D1069" s="119">
        <v>2.8</v>
      </c>
      <c r="E1069" s="119" t="s">
        <v>687</v>
      </c>
      <c r="F1069" s="119" t="s">
        <v>1098</v>
      </c>
    </row>
    <row r="1070" ht="22.5" customHeight="1">
      <c r="A1070" s="117">
        <v>46062.64573668981</v>
      </c>
      <c r="B1070" s="118">
        <v>46062.0</v>
      </c>
      <c r="C1070" s="119" t="s">
        <v>155</v>
      </c>
      <c r="D1070" s="119">
        <v>4.0</v>
      </c>
      <c r="E1070" s="119" t="s">
        <v>1073</v>
      </c>
      <c r="F1070" s="119" t="s">
        <v>1098</v>
      </c>
    </row>
    <row r="1071" ht="22.5" customHeight="1">
      <c r="A1071" s="117">
        <v>46062.64718891204</v>
      </c>
      <c r="B1071" s="118">
        <v>46029.0</v>
      </c>
      <c r="C1071" s="119" t="s">
        <v>769</v>
      </c>
      <c r="D1071" s="119">
        <v>10.0</v>
      </c>
      <c r="E1071" s="119" t="s">
        <v>687</v>
      </c>
      <c r="F1071" s="119" t="s">
        <v>1092</v>
      </c>
    </row>
    <row r="1072" ht="22.5" customHeight="1">
      <c r="A1072" s="117">
        <v>46062.647802754625</v>
      </c>
      <c r="B1072" s="118">
        <v>46035.0</v>
      </c>
      <c r="C1072" s="119" t="s">
        <v>769</v>
      </c>
      <c r="D1072" s="119">
        <v>10.0</v>
      </c>
      <c r="E1072" s="119" t="s">
        <v>687</v>
      </c>
      <c r="F1072" s="119" t="s">
        <v>1092</v>
      </c>
    </row>
    <row r="1073" ht="22.5" customHeight="1">
      <c r="A1073" s="117">
        <v>46062.648346331014</v>
      </c>
      <c r="B1073" s="118">
        <v>46041.0</v>
      </c>
      <c r="C1073" s="119" t="s">
        <v>769</v>
      </c>
      <c r="D1073" s="119">
        <v>10.0</v>
      </c>
      <c r="E1073" s="119" t="s">
        <v>687</v>
      </c>
      <c r="F1073" s="119" t="s">
        <v>1098</v>
      </c>
    </row>
    <row r="1074" ht="22.5" customHeight="1">
      <c r="A1074" s="117">
        <v>46062.649290138885</v>
      </c>
      <c r="B1074" s="118">
        <v>46009.0</v>
      </c>
      <c r="C1074" s="119" t="s">
        <v>769</v>
      </c>
      <c r="D1074" s="119">
        <v>10.0</v>
      </c>
      <c r="E1074" s="119" t="s">
        <v>687</v>
      </c>
      <c r="F1074" s="119" t="s">
        <v>1098</v>
      </c>
    </row>
    <row r="1075" ht="22.5" customHeight="1">
      <c r="A1075" s="117">
        <v>46062.64970650463</v>
      </c>
      <c r="B1075" s="118">
        <v>46014.0</v>
      </c>
      <c r="C1075" s="119" t="s">
        <v>769</v>
      </c>
      <c r="D1075" s="119">
        <v>10.0</v>
      </c>
      <c r="E1075" s="119" t="s">
        <v>687</v>
      </c>
      <c r="F1075" s="119" t="s">
        <v>1098</v>
      </c>
    </row>
    <row r="1076" ht="22.5" customHeight="1">
      <c r="A1076" s="117">
        <v>46062.69526087963</v>
      </c>
      <c r="B1076" s="118">
        <v>46062.0</v>
      </c>
      <c r="C1076" s="119" t="s">
        <v>769</v>
      </c>
      <c r="D1076" s="119">
        <v>1.0</v>
      </c>
      <c r="E1076" s="119" t="s">
        <v>687</v>
      </c>
      <c r="F1076" s="119" t="s">
        <v>1077</v>
      </c>
    </row>
    <row r="1077" ht="22.5" customHeight="1">
      <c r="A1077" s="117">
        <v>46062.69605599537</v>
      </c>
      <c r="B1077" s="118">
        <v>46062.0</v>
      </c>
      <c r="C1077" s="119" t="s">
        <v>963</v>
      </c>
      <c r="D1077" s="119">
        <v>1.0</v>
      </c>
      <c r="E1077" s="119" t="s">
        <v>687</v>
      </c>
      <c r="F1077" s="119" t="s">
        <v>1100</v>
      </c>
    </row>
    <row r="1078" ht="22.5" customHeight="1">
      <c r="A1078" s="117">
        <v>46062.696820219906</v>
      </c>
      <c r="B1078" s="118">
        <v>46062.0</v>
      </c>
      <c r="C1078" s="119" t="s">
        <v>856</v>
      </c>
      <c r="D1078" s="119">
        <v>125.0</v>
      </c>
      <c r="E1078" s="119" t="s">
        <v>687</v>
      </c>
      <c r="F1078" s="119" t="s">
        <v>1100</v>
      </c>
    </row>
    <row r="1079" ht="22.5" customHeight="1">
      <c r="A1079" s="117">
        <v>46062.70247880787</v>
      </c>
      <c r="B1079" s="118">
        <v>46062.0</v>
      </c>
      <c r="C1079" s="119" t="s">
        <v>721</v>
      </c>
      <c r="D1079" s="119">
        <v>5.0</v>
      </c>
      <c r="E1079" s="119" t="s">
        <v>687</v>
      </c>
      <c r="F1079" s="119" t="s">
        <v>1079</v>
      </c>
    </row>
    <row r="1080" ht="22.5" customHeight="1">
      <c r="A1080" s="117">
        <v>46063.654357453706</v>
      </c>
      <c r="B1080" s="118">
        <v>46063.0</v>
      </c>
      <c r="C1080" s="119" t="s">
        <v>837</v>
      </c>
      <c r="D1080" s="119">
        <v>150.0</v>
      </c>
      <c r="E1080" s="119" t="s">
        <v>687</v>
      </c>
      <c r="F1080" s="119" t="s">
        <v>1077</v>
      </c>
    </row>
    <row r="1081" ht="22.5" customHeight="1">
      <c r="A1081" s="117">
        <v>46063.65465596065</v>
      </c>
      <c r="B1081" s="118">
        <v>46063.0</v>
      </c>
      <c r="C1081" s="119" t="s">
        <v>817</v>
      </c>
      <c r="D1081" s="119">
        <v>250.0</v>
      </c>
      <c r="E1081" s="119" t="s">
        <v>687</v>
      </c>
      <c r="F1081" s="119" t="s">
        <v>1077</v>
      </c>
    </row>
    <row r="1082" ht="22.5" customHeight="1">
      <c r="A1082" s="117">
        <v>46063.654863495365</v>
      </c>
      <c r="B1082" s="118">
        <v>46063.0</v>
      </c>
      <c r="C1082" s="119" t="s">
        <v>1030</v>
      </c>
      <c r="D1082" s="119">
        <v>250.0</v>
      </c>
      <c r="E1082" s="119" t="s">
        <v>687</v>
      </c>
      <c r="F1082" s="119" t="s">
        <v>1077</v>
      </c>
    </row>
    <row r="1083" ht="22.5" customHeight="1">
      <c r="A1083" s="117">
        <v>46064.62598059028</v>
      </c>
      <c r="B1083" s="118">
        <v>46063.0</v>
      </c>
      <c r="C1083" s="119" t="s">
        <v>668</v>
      </c>
      <c r="D1083" s="119">
        <v>0.375</v>
      </c>
      <c r="E1083" s="119" t="s">
        <v>1073</v>
      </c>
      <c r="F1083" s="119" t="s">
        <v>1092</v>
      </c>
    </row>
    <row r="1084" ht="22.5" customHeight="1">
      <c r="A1084" s="117">
        <v>46064.62633339121</v>
      </c>
      <c r="B1084" s="118">
        <v>46064.0</v>
      </c>
      <c r="C1084" s="119" t="s">
        <v>155</v>
      </c>
      <c r="D1084" s="119">
        <v>24.02</v>
      </c>
      <c r="E1084" s="119" t="s">
        <v>1073</v>
      </c>
      <c r="F1084" s="119" t="s">
        <v>1079</v>
      </c>
    </row>
    <row r="1085" ht="22.5" customHeight="1">
      <c r="A1085" s="117">
        <v>46064.626940462964</v>
      </c>
      <c r="B1085" s="118">
        <v>46064.0</v>
      </c>
      <c r="C1085" s="119" t="s">
        <v>45</v>
      </c>
      <c r="D1085" s="119">
        <v>1.007</v>
      </c>
      <c r="E1085" s="119" t="s">
        <v>1073</v>
      </c>
      <c r="F1085" s="119" t="s">
        <v>1079</v>
      </c>
    </row>
    <row r="1086" ht="22.5" customHeight="1">
      <c r="A1086" s="117">
        <v>46064.62738871528</v>
      </c>
      <c r="B1086" s="118">
        <v>46064.0</v>
      </c>
      <c r="C1086" s="119" t="s">
        <v>344</v>
      </c>
      <c r="D1086" s="119">
        <v>0.6224</v>
      </c>
      <c r="E1086" s="119" t="s">
        <v>1073</v>
      </c>
      <c r="F1086" s="119" t="s">
        <v>1079</v>
      </c>
    </row>
    <row r="1087" ht="22.5" customHeight="1">
      <c r="A1087" s="117">
        <v>46064.62791967593</v>
      </c>
      <c r="B1087" s="118">
        <v>46064.0</v>
      </c>
      <c r="C1087" s="119" t="s">
        <v>337</v>
      </c>
      <c r="D1087" s="119">
        <v>0.1227</v>
      </c>
      <c r="E1087" s="119" t="s">
        <v>1073</v>
      </c>
      <c r="F1087" s="119" t="s">
        <v>1079</v>
      </c>
    </row>
    <row r="1088" ht="22.5" customHeight="1">
      <c r="A1088" s="117">
        <v>46064.62855231481</v>
      </c>
      <c r="B1088" s="118">
        <v>46064.0</v>
      </c>
      <c r="C1088" s="119" t="s">
        <v>66</v>
      </c>
      <c r="D1088" s="119">
        <v>6.0112</v>
      </c>
      <c r="E1088" s="119" t="s">
        <v>1073</v>
      </c>
      <c r="F1088" s="119" t="s">
        <v>1079</v>
      </c>
    </row>
    <row r="1089" ht="22.5" customHeight="1">
      <c r="A1089" s="117">
        <v>46064.628951770836</v>
      </c>
      <c r="B1089" s="118">
        <v>46064.0</v>
      </c>
      <c r="C1089" s="119" t="s">
        <v>438</v>
      </c>
      <c r="D1089" s="119">
        <v>0.3219</v>
      </c>
      <c r="E1089" s="119" t="s">
        <v>1073</v>
      </c>
      <c r="F1089" s="119" t="s">
        <v>1079</v>
      </c>
    </row>
    <row r="1090" ht="22.5" customHeight="1">
      <c r="A1090" s="117">
        <v>46064.62940277778</v>
      </c>
      <c r="B1090" s="118">
        <v>46064.0</v>
      </c>
      <c r="C1090" s="119" t="s">
        <v>668</v>
      </c>
      <c r="D1090" s="119">
        <v>0.1884</v>
      </c>
      <c r="E1090" s="119" t="s">
        <v>1073</v>
      </c>
      <c r="F1090" s="119" t="s">
        <v>1079</v>
      </c>
    </row>
    <row r="1091" ht="22.5" customHeight="1">
      <c r="A1091" s="117">
        <v>46064.62978984954</v>
      </c>
      <c r="B1091" s="118">
        <v>46064.0</v>
      </c>
      <c r="C1091" s="119" t="s">
        <v>831</v>
      </c>
      <c r="D1091" s="119">
        <v>50.0</v>
      </c>
      <c r="E1091" s="119" t="s">
        <v>687</v>
      </c>
      <c r="F1091" s="119" t="s">
        <v>1079</v>
      </c>
    </row>
    <row r="1092" ht="22.5" customHeight="1">
      <c r="A1092" s="117">
        <v>46066.71015153935</v>
      </c>
      <c r="B1092" s="118">
        <v>46065.0</v>
      </c>
      <c r="C1092" s="119" t="s">
        <v>566</v>
      </c>
      <c r="D1092" s="119">
        <v>2.0</v>
      </c>
      <c r="E1092" s="119" t="s">
        <v>562</v>
      </c>
      <c r="F1092" s="119" t="s">
        <v>1099</v>
      </c>
    </row>
    <row r="1093" ht="22.5" customHeight="1">
      <c r="A1093" s="117">
        <v>46066.710626238426</v>
      </c>
      <c r="B1093" s="118">
        <v>46358.0</v>
      </c>
      <c r="C1093" s="119" t="s">
        <v>572</v>
      </c>
      <c r="D1093" s="119">
        <v>2.0</v>
      </c>
      <c r="E1093" s="119" t="s">
        <v>562</v>
      </c>
      <c r="F1093" s="119" t="s">
        <v>1099</v>
      </c>
    </row>
    <row r="1094" ht="22.5" customHeight="1">
      <c r="A1094" s="117">
        <v>46069.499596354166</v>
      </c>
      <c r="B1094" s="118">
        <v>46065.0</v>
      </c>
      <c r="C1094" s="119" t="s">
        <v>637</v>
      </c>
      <c r="D1094" s="119">
        <v>1.0</v>
      </c>
      <c r="E1094" s="119" t="s">
        <v>562</v>
      </c>
      <c r="F1094" s="119" t="s">
        <v>1099</v>
      </c>
    </row>
    <row r="1095" ht="22.5" customHeight="1">
      <c r="A1095" s="117">
        <v>46069.637271354164</v>
      </c>
      <c r="B1095" s="118">
        <v>46069.0</v>
      </c>
      <c r="C1095" s="119" t="s">
        <v>470</v>
      </c>
      <c r="D1095" s="119">
        <v>6.013</v>
      </c>
      <c r="E1095" s="119" t="s">
        <v>1073</v>
      </c>
      <c r="F1095" s="119" t="s">
        <v>1099</v>
      </c>
    </row>
    <row r="1096" ht="22.5" customHeight="1">
      <c r="A1096" s="117">
        <v>46072.34283609954</v>
      </c>
      <c r="B1096" s="118">
        <v>46071.0</v>
      </c>
      <c r="C1096" s="119" t="s">
        <v>817</v>
      </c>
      <c r="D1096" s="119">
        <v>20.0</v>
      </c>
      <c r="E1096" s="119" t="s">
        <v>687</v>
      </c>
      <c r="F1096" s="119" t="s">
        <v>1092</v>
      </c>
    </row>
    <row r="1097" ht="22.5" customHeight="1">
      <c r="A1097" s="117">
        <v>46072.34319108796</v>
      </c>
      <c r="B1097" s="118">
        <v>46072.0</v>
      </c>
      <c r="C1097" s="119" t="s">
        <v>87</v>
      </c>
      <c r="D1097" s="119">
        <v>1.2</v>
      </c>
      <c r="E1097" s="119" t="s">
        <v>1073</v>
      </c>
      <c r="F1097" s="119" t="s">
        <v>1076</v>
      </c>
    </row>
    <row r="1098" ht="22.5" customHeight="1">
      <c r="A1098" s="117">
        <v>46072.34370186343</v>
      </c>
      <c r="B1098" s="118">
        <v>46066.0</v>
      </c>
      <c r="C1098" s="119" t="s">
        <v>837</v>
      </c>
      <c r="D1098" s="119">
        <v>70.0</v>
      </c>
      <c r="E1098" s="119" t="s">
        <v>687</v>
      </c>
      <c r="F1098" s="119" t="s">
        <v>1076</v>
      </c>
    </row>
    <row r="1099" ht="22.5" customHeight="1">
      <c r="A1099" s="117">
        <v>46072.86774296296</v>
      </c>
      <c r="B1099" s="118">
        <v>46069.0</v>
      </c>
      <c r="C1099" s="119" t="s">
        <v>817</v>
      </c>
      <c r="D1099" s="119">
        <v>200.0</v>
      </c>
      <c r="E1099" s="119" t="s">
        <v>687</v>
      </c>
      <c r="F1099" s="119" t="s">
        <v>1077</v>
      </c>
    </row>
    <row r="1100" ht="22.5" customHeight="1">
      <c r="A1100" s="117">
        <v>46072.8681287037</v>
      </c>
      <c r="B1100" s="118">
        <v>46072.0</v>
      </c>
      <c r="C1100" s="119" t="s">
        <v>155</v>
      </c>
      <c r="D1100" s="119">
        <v>2.5</v>
      </c>
      <c r="E1100" s="119" t="s">
        <v>1073</v>
      </c>
      <c r="F1100" s="119" t="s">
        <v>1077</v>
      </c>
    </row>
    <row r="1101" ht="22.5" customHeight="1">
      <c r="A1101" s="117">
        <v>46072.87135123843</v>
      </c>
      <c r="B1101" s="118">
        <v>46072.0</v>
      </c>
      <c r="C1101" s="119" t="s">
        <v>831</v>
      </c>
      <c r="D1101" s="119">
        <v>30.0</v>
      </c>
      <c r="E1101" s="119" t="s">
        <v>687</v>
      </c>
      <c r="F1101" s="119" t="s">
        <v>1100</v>
      </c>
    </row>
    <row r="1102" ht="22.5" customHeight="1">
      <c r="A1102" s="117">
        <v>46072.871979895834</v>
      </c>
      <c r="B1102" s="118">
        <v>46072.0</v>
      </c>
      <c r="C1102" s="119" t="s">
        <v>464</v>
      </c>
      <c r="D1102" s="119">
        <v>10.0</v>
      </c>
      <c r="E1102" s="119" t="s">
        <v>1073</v>
      </c>
      <c r="F1102" s="119" t="s">
        <v>1100</v>
      </c>
    </row>
    <row r="1103" ht="22.5" customHeight="1">
      <c r="A1103" s="117">
        <v>46073.40596284722</v>
      </c>
      <c r="B1103" s="118">
        <v>46072.0</v>
      </c>
      <c r="C1103" s="119" t="s">
        <v>344</v>
      </c>
      <c r="D1103" s="119">
        <v>5.0</v>
      </c>
      <c r="E1103" s="119" t="s">
        <v>1073</v>
      </c>
      <c r="F1103" s="119" t="s">
        <v>1076</v>
      </c>
    </row>
    <row r="1104" ht="22.5" customHeight="1">
      <c r="A1104" s="117">
        <v>46073.40625756944</v>
      </c>
      <c r="B1104" s="118">
        <v>46072.0</v>
      </c>
      <c r="C1104" s="119" t="s">
        <v>375</v>
      </c>
      <c r="D1104" s="119">
        <v>0.02</v>
      </c>
      <c r="E1104" s="119" t="s">
        <v>1073</v>
      </c>
      <c r="F1104" s="119" t="s">
        <v>1076</v>
      </c>
    </row>
    <row r="1105" ht="22.5" customHeight="1">
      <c r="A1105" s="117">
        <v>46073.40662085648</v>
      </c>
      <c r="B1105" s="118">
        <v>46072.0</v>
      </c>
      <c r="C1105" s="119" t="s">
        <v>184</v>
      </c>
      <c r="D1105" s="119">
        <v>26.0</v>
      </c>
      <c r="E1105" s="119" t="s">
        <v>1073</v>
      </c>
      <c r="F1105" s="119" t="s">
        <v>1076</v>
      </c>
    </row>
    <row r="1106" ht="22.5" customHeight="1">
      <c r="A1106" s="117">
        <v>46073.406850555555</v>
      </c>
      <c r="B1106" s="118">
        <v>46072.0</v>
      </c>
      <c r="C1106" s="119" t="s">
        <v>324</v>
      </c>
      <c r="D1106" s="119">
        <v>3.4</v>
      </c>
      <c r="E1106" s="119" t="s">
        <v>1073</v>
      </c>
      <c r="F1106" s="119" t="s">
        <v>1076</v>
      </c>
    </row>
    <row r="1107" ht="22.5" customHeight="1">
      <c r="A1107" s="117">
        <v>46073.40829168982</v>
      </c>
      <c r="B1107" s="118">
        <v>46073.0</v>
      </c>
      <c r="C1107" s="119" t="s">
        <v>630</v>
      </c>
      <c r="D1107" s="119">
        <v>1.04</v>
      </c>
      <c r="E1107" s="119" t="s">
        <v>1073</v>
      </c>
      <c r="F1107" s="119" t="s">
        <v>1076</v>
      </c>
    </row>
    <row r="1108" ht="22.5" customHeight="1">
      <c r="A1108" s="117">
        <v>46073.40855175926</v>
      </c>
      <c r="B1108" s="118">
        <v>46073.0</v>
      </c>
      <c r="C1108" s="119" t="s">
        <v>155</v>
      </c>
      <c r="D1108" s="119">
        <v>0.06</v>
      </c>
      <c r="E1108" s="119" t="s">
        <v>1073</v>
      </c>
      <c r="F1108" s="119" t="s">
        <v>1076</v>
      </c>
    </row>
    <row r="1109" ht="22.5" customHeight="1">
      <c r="A1109" s="117">
        <v>46073.408837986106</v>
      </c>
      <c r="B1109" s="118">
        <v>46073.0</v>
      </c>
      <c r="C1109" s="119" t="s">
        <v>45</v>
      </c>
      <c r="D1109" s="119">
        <v>0.1</v>
      </c>
      <c r="E1109" s="119" t="s">
        <v>1073</v>
      </c>
      <c r="F1109" s="119" t="s">
        <v>1076</v>
      </c>
    </row>
    <row r="1110" ht="22.5" customHeight="1">
      <c r="A1110" s="117">
        <v>46073.40913234954</v>
      </c>
      <c r="B1110" s="118">
        <v>46073.0</v>
      </c>
      <c r="C1110" s="119" t="s">
        <v>438</v>
      </c>
      <c r="D1110" s="119">
        <v>0.635</v>
      </c>
      <c r="E1110" s="119" t="s">
        <v>1073</v>
      </c>
      <c r="F1110" s="119" t="s">
        <v>1076</v>
      </c>
    </row>
    <row r="1111" ht="22.5" customHeight="1">
      <c r="A1111" s="117">
        <v>46073.409338530095</v>
      </c>
      <c r="B1111" s="118">
        <v>46073.0</v>
      </c>
      <c r="C1111" s="119" t="s">
        <v>66</v>
      </c>
      <c r="D1111" s="119">
        <v>3.0</v>
      </c>
      <c r="E1111" s="119" t="s">
        <v>1073</v>
      </c>
      <c r="F1111" s="119" t="s">
        <v>1076</v>
      </c>
    </row>
    <row r="1112" ht="22.5" customHeight="1">
      <c r="A1112" s="117">
        <v>46073.409741446754</v>
      </c>
      <c r="B1112" s="118">
        <v>46073.0</v>
      </c>
      <c r="C1112" s="119" t="s">
        <v>831</v>
      </c>
      <c r="D1112" s="119">
        <v>2.0</v>
      </c>
      <c r="E1112" s="119" t="s">
        <v>687</v>
      </c>
      <c r="F1112" s="119" t="s">
        <v>1076</v>
      </c>
    </row>
    <row r="1113" ht="22.5" customHeight="1">
      <c r="A1113" s="117">
        <v>46073.41003991898</v>
      </c>
      <c r="B1113" s="118">
        <v>46072.0</v>
      </c>
      <c r="C1113" s="119" t="s">
        <v>991</v>
      </c>
      <c r="D1113" s="119">
        <v>2.5</v>
      </c>
      <c r="E1113" s="119" t="s">
        <v>687</v>
      </c>
      <c r="F1113" s="119" t="s">
        <v>1076</v>
      </c>
    </row>
    <row r="1114" ht="22.5" customHeight="1">
      <c r="A1114" s="117">
        <v>46073.51739121528</v>
      </c>
      <c r="B1114" s="118">
        <v>46073.0</v>
      </c>
      <c r="C1114" s="119" t="s">
        <v>727</v>
      </c>
      <c r="D1114" s="119">
        <v>3.0</v>
      </c>
      <c r="E1114" s="119" t="s">
        <v>687</v>
      </c>
      <c r="F1114" s="119" t="s">
        <v>1092</v>
      </c>
    </row>
    <row r="1115" ht="22.5" customHeight="1">
      <c r="A1115" s="117">
        <v>46073.51767621528</v>
      </c>
      <c r="B1115" s="118">
        <v>46073.0</v>
      </c>
      <c r="C1115" s="119" t="s">
        <v>817</v>
      </c>
      <c r="D1115" s="119">
        <v>30.0</v>
      </c>
      <c r="E1115" s="119" t="s">
        <v>687</v>
      </c>
      <c r="F1115" s="119" t="s">
        <v>1092</v>
      </c>
    </row>
    <row r="1116" ht="22.5" customHeight="1">
      <c r="A1116" s="117">
        <v>46073.72623355324</v>
      </c>
      <c r="B1116" s="118">
        <v>46073.0</v>
      </c>
      <c r="C1116" s="119" t="s">
        <v>798</v>
      </c>
      <c r="D1116" s="119">
        <v>7.5</v>
      </c>
      <c r="E1116" s="119" t="s">
        <v>687</v>
      </c>
      <c r="F1116" s="119" t="s">
        <v>1077</v>
      </c>
    </row>
    <row r="1117" ht="22.5" customHeight="1">
      <c r="A1117" s="117">
        <v>46073.72696008102</v>
      </c>
      <c r="B1117" s="118">
        <v>46073.0</v>
      </c>
      <c r="C1117" s="119" t="s">
        <v>817</v>
      </c>
      <c r="D1117" s="119">
        <v>50.0</v>
      </c>
      <c r="E1117" s="119" t="s">
        <v>687</v>
      </c>
      <c r="F1117" s="119" t="s">
        <v>1100</v>
      </c>
    </row>
    <row r="1118" ht="22.5" customHeight="1">
      <c r="A1118" s="117">
        <v>46073.72746547454</v>
      </c>
      <c r="B1118" s="118">
        <v>46073.0</v>
      </c>
      <c r="C1118" s="119" t="s">
        <v>831</v>
      </c>
      <c r="D1118" s="119">
        <v>10.0</v>
      </c>
      <c r="E1118" s="119" t="s">
        <v>687</v>
      </c>
      <c r="F1118" s="119" t="s">
        <v>1077</v>
      </c>
    </row>
    <row r="1119" ht="22.5" customHeight="1">
      <c r="A1119" s="117">
        <v>46074.38074068287</v>
      </c>
      <c r="B1119" s="118">
        <v>46073.0</v>
      </c>
      <c r="C1119" s="119" t="s">
        <v>588</v>
      </c>
      <c r="D1119" s="119">
        <v>16.0</v>
      </c>
      <c r="E1119" s="119" t="s">
        <v>1073</v>
      </c>
      <c r="F1119" s="119" t="s">
        <v>1100</v>
      </c>
    </row>
    <row r="1120" ht="22.5" customHeight="1">
      <c r="A1120" s="117">
        <v>46075.25245201389</v>
      </c>
      <c r="B1120" s="118">
        <v>46074.0</v>
      </c>
      <c r="C1120" s="119" t="s">
        <v>155</v>
      </c>
      <c r="D1120" s="119">
        <v>2.0</v>
      </c>
      <c r="E1120" s="119" t="s">
        <v>1073</v>
      </c>
      <c r="F1120" s="119" t="s">
        <v>1077</v>
      </c>
    </row>
    <row r="1121" ht="22.5" customHeight="1">
      <c r="A1121" s="117">
        <v>46075.2535305787</v>
      </c>
      <c r="B1121" s="118">
        <v>46074.0</v>
      </c>
      <c r="C1121" s="119" t="s">
        <v>239</v>
      </c>
      <c r="D1121" s="119">
        <v>20.0</v>
      </c>
      <c r="E1121" s="119" t="s">
        <v>1073</v>
      </c>
      <c r="F1121" s="119" t="s">
        <v>1077</v>
      </c>
    </row>
    <row r="1122" ht="22.5" customHeight="1">
      <c r="A1122" s="117">
        <v>46075.25381787037</v>
      </c>
      <c r="B1122" s="118">
        <v>46074.0</v>
      </c>
      <c r="C1122" s="119" t="s">
        <v>920</v>
      </c>
      <c r="D1122" s="119">
        <v>333.0</v>
      </c>
      <c r="E1122" s="119" t="s">
        <v>687</v>
      </c>
      <c r="F1122" s="119" t="s">
        <v>1077</v>
      </c>
    </row>
    <row r="1123" ht="22.5" customHeight="1">
      <c r="A1123" s="117">
        <v>46075.25407490741</v>
      </c>
      <c r="B1123" s="118">
        <v>46074.0</v>
      </c>
      <c r="C1123" s="119" t="s">
        <v>888</v>
      </c>
      <c r="D1123" s="119">
        <v>25.0</v>
      </c>
      <c r="E1123" s="119" t="s">
        <v>687</v>
      </c>
      <c r="F1123" s="119" t="s">
        <v>1077</v>
      </c>
    </row>
    <row r="1124" ht="22.5" customHeight="1">
      <c r="A1124" s="117">
        <v>46075.25441195602</v>
      </c>
      <c r="B1124" s="118">
        <v>46074.0</v>
      </c>
      <c r="C1124" s="119" t="s">
        <v>588</v>
      </c>
      <c r="D1124" s="119">
        <v>0.316</v>
      </c>
      <c r="E1124" s="119" t="s">
        <v>1073</v>
      </c>
      <c r="F1124" s="119" t="s">
        <v>1100</v>
      </c>
    </row>
    <row r="1125" ht="22.5" customHeight="1">
      <c r="A1125" s="117">
        <v>46076.87655509259</v>
      </c>
      <c r="B1125" s="118">
        <v>46076.0</v>
      </c>
      <c r="C1125" s="119" t="s">
        <v>823</v>
      </c>
      <c r="D1125" s="119">
        <v>111.0</v>
      </c>
      <c r="E1125" s="119" t="s">
        <v>687</v>
      </c>
      <c r="F1125" s="119" t="s">
        <v>1077</v>
      </c>
    </row>
    <row r="1126" ht="22.5" customHeight="1">
      <c r="A1126" s="117">
        <v>46076.877113229166</v>
      </c>
      <c r="B1126" s="118">
        <v>46076.0</v>
      </c>
      <c r="C1126" s="119" t="s">
        <v>395</v>
      </c>
      <c r="D1126" s="119">
        <v>0.6302</v>
      </c>
      <c r="E1126" s="119" t="s">
        <v>1073</v>
      </c>
      <c r="F1126" s="119" t="s">
        <v>1077</v>
      </c>
    </row>
    <row r="1127" ht="22.5" customHeight="1">
      <c r="A1127" s="117">
        <v>46077.2902177662</v>
      </c>
      <c r="B1127" s="118">
        <v>46077.0</v>
      </c>
      <c r="C1127" s="119" t="s">
        <v>817</v>
      </c>
      <c r="D1127" s="119">
        <v>5.0</v>
      </c>
      <c r="E1127" s="119" t="s">
        <v>687</v>
      </c>
      <c r="F1127" s="119" t="s">
        <v>1092</v>
      </c>
    </row>
    <row r="1128" ht="22.5" customHeight="1">
      <c r="A1128" s="117">
        <v>46077.68320346065</v>
      </c>
      <c r="B1128" s="118">
        <v>46077.0</v>
      </c>
      <c r="C1128" s="119" t="s">
        <v>572</v>
      </c>
      <c r="D1128" s="119">
        <v>2.0</v>
      </c>
      <c r="E1128" s="119" t="s">
        <v>562</v>
      </c>
      <c r="F1128" s="119" t="s">
        <v>1099</v>
      </c>
    </row>
    <row r="1129" ht="22.5" customHeight="1">
      <c r="A1129" s="117">
        <v>46077.68380752315</v>
      </c>
      <c r="B1129" s="118">
        <v>46077.0</v>
      </c>
      <c r="C1129" s="119" t="s">
        <v>532</v>
      </c>
      <c r="D1129" s="119">
        <v>2.0</v>
      </c>
      <c r="E1129" s="119" t="s">
        <v>562</v>
      </c>
      <c r="F1129" s="119" t="s">
        <v>1099</v>
      </c>
    </row>
    <row r="1130" ht="22.5" customHeight="1">
      <c r="A1130" s="117">
        <v>46077.68420333334</v>
      </c>
      <c r="B1130" s="118">
        <v>46077.0</v>
      </c>
      <c r="C1130" s="119" t="s">
        <v>566</v>
      </c>
      <c r="D1130" s="119">
        <v>2.0</v>
      </c>
      <c r="E1130" s="119" t="s">
        <v>562</v>
      </c>
      <c r="F1130" s="119" t="s">
        <v>1099</v>
      </c>
    </row>
    <row r="1131" ht="22.5" customHeight="1">
      <c r="A1131" s="117">
        <v>46080.319415081016</v>
      </c>
      <c r="B1131" s="118">
        <v>46078.0</v>
      </c>
      <c r="C1131" s="119" t="s">
        <v>572</v>
      </c>
      <c r="D1131" s="119">
        <v>1.0</v>
      </c>
      <c r="E1131" s="119" t="s">
        <v>562</v>
      </c>
      <c r="F1131" s="119" t="s">
        <v>1099</v>
      </c>
    </row>
    <row r="1132" ht="22.5" customHeight="1">
      <c r="A1132" s="117">
        <v>46080.31997202546</v>
      </c>
      <c r="B1132" s="118">
        <v>46078.0</v>
      </c>
      <c r="C1132" s="119" t="s">
        <v>566</v>
      </c>
      <c r="D1132" s="119">
        <v>1.0</v>
      </c>
      <c r="E1132" s="119" t="s">
        <v>562</v>
      </c>
      <c r="F1132" s="119" t="s">
        <v>1099</v>
      </c>
    </row>
    <row r="1133" ht="22.5" customHeight="1">
      <c r="A1133" s="117">
        <v>46083.42910393518</v>
      </c>
      <c r="B1133" s="118">
        <v>46083.0</v>
      </c>
      <c r="C1133" s="119" t="s">
        <v>38</v>
      </c>
      <c r="D1133" s="119">
        <v>2.5007</v>
      </c>
      <c r="E1133" s="119" t="s">
        <v>1073</v>
      </c>
      <c r="F1133" s="119" t="s">
        <v>1092</v>
      </c>
    </row>
    <row r="1134" ht="22.5" customHeight="1">
      <c r="A1134" s="117">
        <v>46083.42939038195</v>
      </c>
      <c r="B1134" s="118">
        <v>46083.0</v>
      </c>
      <c r="C1134" s="119" t="s">
        <v>576</v>
      </c>
      <c r="D1134" s="119">
        <v>2.5003</v>
      </c>
      <c r="E1134" s="119" t="s">
        <v>1073</v>
      </c>
      <c r="F1134" s="119" t="s">
        <v>1092</v>
      </c>
    </row>
    <row r="1135" ht="22.5" customHeight="1">
      <c r="A1135" s="117">
        <v>46083.63786449074</v>
      </c>
      <c r="B1135" s="118">
        <v>46083.0</v>
      </c>
      <c r="C1135" s="119" t="s">
        <v>470</v>
      </c>
      <c r="D1135" s="119">
        <v>8.011</v>
      </c>
      <c r="E1135" s="119" t="s">
        <v>1073</v>
      </c>
      <c r="F1135" s="119" t="s">
        <v>1099</v>
      </c>
    </row>
    <row r="1136" ht="22.5" customHeight="1">
      <c r="A1136" s="117">
        <v>46083.63829609954</v>
      </c>
      <c r="B1136" s="118">
        <v>46083.0</v>
      </c>
      <c r="C1136" s="119" t="s">
        <v>566</v>
      </c>
      <c r="D1136" s="119">
        <v>1.0</v>
      </c>
      <c r="E1136" s="119" t="s">
        <v>562</v>
      </c>
      <c r="F1136" s="119" t="s">
        <v>1099</v>
      </c>
    </row>
    <row r="1137" ht="22.5" customHeight="1">
      <c r="A1137" s="117">
        <v>46083.63861707176</v>
      </c>
      <c r="B1137" s="118">
        <v>46083.0</v>
      </c>
      <c r="C1137" s="119" t="s">
        <v>572</v>
      </c>
      <c r="D1137" s="119">
        <v>1.0</v>
      </c>
      <c r="E1137" s="119" t="s">
        <v>562</v>
      </c>
      <c r="F1137" s="119" t="s">
        <v>1099</v>
      </c>
    </row>
    <row r="1138" ht="22.5" customHeight="1">
      <c r="A1138" s="117">
        <v>46084.59461166667</v>
      </c>
      <c r="B1138" s="118">
        <v>46084.0</v>
      </c>
      <c r="C1138" s="119" t="s">
        <v>566</v>
      </c>
      <c r="D1138" s="119">
        <v>1.0</v>
      </c>
      <c r="E1138" s="119" t="s">
        <v>562</v>
      </c>
      <c r="F1138" s="119" t="s">
        <v>1099</v>
      </c>
    </row>
    <row r="1139" ht="22.5" customHeight="1">
      <c r="A1139" s="117">
        <v>46084.595116111115</v>
      </c>
      <c r="B1139" s="118">
        <v>46084.0</v>
      </c>
      <c r="C1139" s="119" t="s">
        <v>572</v>
      </c>
      <c r="D1139" s="119">
        <v>1.0</v>
      </c>
      <c r="E1139" s="119" t="s">
        <v>562</v>
      </c>
      <c r="F1139" s="119" t="s">
        <v>1099</v>
      </c>
    </row>
    <row r="1140" ht="22.5" customHeight="1">
      <c r="A1140" s="117">
        <v>46085.63520871528</v>
      </c>
      <c r="B1140" s="118">
        <v>46115.0</v>
      </c>
      <c r="C1140" s="119" t="s">
        <v>155</v>
      </c>
      <c r="D1140" s="119">
        <v>2.5065</v>
      </c>
      <c r="E1140" s="119" t="s">
        <v>1073</v>
      </c>
      <c r="F1140" s="119" t="s">
        <v>1079</v>
      </c>
    </row>
    <row r="1141" ht="22.5" customHeight="1">
      <c r="A1141" s="117">
        <v>46085.63551723379</v>
      </c>
      <c r="B1141" s="118">
        <v>46115.0</v>
      </c>
      <c r="C1141" s="119" t="s">
        <v>464</v>
      </c>
      <c r="D1141" s="119">
        <v>10.0153</v>
      </c>
      <c r="E1141" s="119" t="s">
        <v>1073</v>
      </c>
      <c r="F1141" s="119" t="s">
        <v>1079</v>
      </c>
    </row>
    <row r="1142" ht="22.5" customHeight="1">
      <c r="A1142" s="117">
        <v>46085.6362544213</v>
      </c>
      <c r="B1142" s="118">
        <v>46115.0</v>
      </c>
      <c r="C1142" s="119" t="s">
        <v>831</v>
      </c>
      <c r="D1142" s="119">
        <v>105.0</v>
      </c>
      <c r="E1142" s="119" t="s">
        <v>687</v>
      </c>
      <c r="F1142" s="119" t="s">
        <v>1079</v>
      </c>
    </row>
    <row r="1143" ht="22.5" customHeight="1">
      <c r="A1143" s="117">
        <v>46086.41154109954</v>
      </c>
      <c r="B1143" s="118">
        <v>46086.0</v>
      </c>
      <c r="C1143" s="119" t="s">
        <v>798</v>
      </c>
      <c r="D1143" s="119">
        <v>20.0</v>
      </c>
      <c r="E1143" s="119" t="s">
        <v>687</v>
      </c>
      <c r="F1143" s="119" t="s">
        <v>1077</v>
      </c>
    </row>
    <row r="1144" ht="22.5" customHeight="1">
      <c r="A1144" s="117">
        <v>46086.411779664355</v>
      </c>
      <c r="B1144" s="118">
        <v>46086.0</v>
      </c>
      <c r="C1144" s="119" t="s">
        <v>10</v>
      </c>
      <c r="D1144" s="119">
        <v>0.2</v>
      </c>
      <c r="E1144" s="119" t="s">
        <v>1073</v>
      </c>
      <c r="F1144" s="119" t="s">
        <v>1077</v>
      </c>
    </row>
    <row r="1145" ht="22.5" customHeight="1">
      <c r="A1145" s="117">
        <v>46086.4121721875</v>
      </c>
      <c r="B1145" s="118">
        <v>46086.0</v>
      </c>
      <c r="C1145" s="119" t="s">
        <v>869</v>
      </c>
      <c r="D1145" s="119">
        <v>0.4</v>
      </c>
      <c r="E1145" s="119" t="s">
        <v>1073</v>
      </c>
      <c r="F1145" s="119" t="s">
        <v>1077</v>
      </c>
    </row>
    <row r="1146" ht="22.5" customHeight="1">
      <c r="A1146" s="117">
        <v>46086.41283670139</v>
      </c>
      <c r="B1146" s="118">
        <v>46086.0</v>
      </c>
      <c r="C1146" s="119" t="s">
        <v>10</v>
      </c>
      <c r="D1146" s="119">
        <v>0.2</v>
      </c>
      <c r="E1146" s="119" t="s">
        <v>1073</v>
      </c>
      <c r="F1146" s="119" t="s">
        <v>1077</v>
      </c>
    </row>
    <row r="1147" ht="22.5" customHeight="1">
      <c r="A1147" s="117">
        <v>46086.678934421296</v>
      </c>
      <c r="B1147" s="118">
        <v>46086.0</v>
      </c>
      <c r="C1147" s="119" t="s">
        <v>155</v>
      </c>
      <c r="D1147" s="119">
        <v>2.5</v>
      </c>
      <c r="E1147" s="119" t="s">
        <v>1073</v>
      </c>
      <c r="F1147" s="119" t="s">
        <v>1079</v>
      </c>
    </row>
    <row r="1148" ht="22.5" customHeight="1">
      <c r="A1148" s="117">
        <v>46086.67931907407</v>
      </c>
      <c r="B1148" s="118">
        <v>46086.0</v>
      </c>
      <c r="C1148" s="119" t="s">
        <v>464</v>
      </c>
      <c r="D1148" s="119">
        <v>10.2</v>
      </c>
      <c r="E1148" s="119" t="s">
        <v>1073</v>
      </c>
      <c r="F1148" s="119" t="s">
        <v>1079</v>
      </c>
    </row>
    <row r="1149" ht="22.5" customHeight="1">
      <c r="A1149" s="117">
        <v>46086.679803321764</v>
      </c>
      <c r="B1149" s="118">
        <v>46086.0</v>
      </c>
      <c r="C1149" s="119" t="s">
        <v>831</v>
      </c>
      <c r="D1149" s="119">
        <v>110.0</v>
      </c>
      <c r="E1149" s="119" t="s">
        <v>687</v>
      </c>
      <c r="F1149" s="119" t="s">
        <v>1079</v>
      </c>
    </row>
    <row r="1150" ht="22.5" customHeight="1">
      <c r="A1150" s="117">
        <v>46091.34164331018</v>
      </c>
      <c r="B1150" s="118">
        <v>46076.0</v>
      </c>
      <c r="C1150" s="119" t="s">
        <v>798</v>
      </c>
      <c r="D1150" s="119">
        <v>12.5</v>
      </c>
      <c r="E1150" s="119" t="s">
        <v>687</v>
      </c>
      <c r="F1150" s="119" t="s">
        <v>1077</v>
      </c>
    </row>
    <row r="1151" ht="22.5" customHeight="1">
      <c r="A1151" s="117">
        <v>46091.34196947917</v>
      </c>
      <c r="B1151" s="118">
        <v>46077.0</v>
      </c>
      <c r="C1151" s="119" t="s">
        <v>798</v>
      </c>
      <c r="D1151" s="119">
        <v>12.5</v>
      </c>
      <c r="E1151" s="119" t="s">
        <v>687</v>
      </c>
      <c r="F1151" s="119" t="s">
        <v>1077</v>
      </c>
    </row>
    <row r="1152" ht="22.5" customHeight="1">
      <c r="A1152" s="117">
        <v>46091.3422919213</v>
      </c>
      <c r="B1152" s="118">
        <v>46078.0</v>
      </c>
      <c r="C1152" s="119" t="s">
        <v>798</v>
      </c>
      <c r="D1152" s="119">
        <v>12.5</v>
      </c>
      <c r="E1152" s="119" t="s">
        <v>687</v>
      </c>
      <c r="F1152" s="119" t="s">
        <v>1077</v>
      </c>
    </row>
    <row r="1153" ht="22.5" customHeight="1">
      <c r="A1153" s="117">
        <v>46091.342712129626</v>
      </c>
      <c r="B1153" s="118">
        <v>46083.0</v>
      </c>
      <c r="C1153" s="119" t="s">
        <v>798</v>
      </c>
      <c r="D1153" s="119">
        <v>12.5</v>
      </c>
      <c r="E1153" s="119" t="s">
        <v>687</v>
      </c>
      <c r="F1153" s="119" t="s">
        <v>1077</v>
      </c>
    </row>
    <row r="1154" ht="22.5" customHeight="1">
      <c r="A1154" s="117">
        <v>46091.34297921296</v>
      </c>
      <c r="B1154" s="118">
        <v>46085.0</v>
      </c>
      <c r="C1154" s="119" t="s">
        <v>798</v>
      </c>
      <c r="D1154" s="119">
        <v>12.5</v>
      </c>
      <c r="E1154" s="119" t="s">
        <v>687</v>
      </c>
      <c r="F1154" s="119" t="s">
        <v>1077</v>
      </c>
    </row>
    <row r="1155" ht="22.5" customHeight="1">
      <c r="A1155" s="117">
        <v>46091.34339</v>
      </c>
      <c r="B1155" s="118">
        <v>46086.0</v>
      </c>
      <c r="C1155" s="119" t="s">
        <v>798</v>
      </c>
      <c r="D1155" s="119">
        <v>12.5</v>
      </c>
      <c r="E1155" s="119" t="s">
        <v>687</v>
      </c>
      <c r="F1155" s="119" t="s">
        <v>1077</v>
      </c>
    </row>
    <row r="1156" ht="22.5" customHeight="1">
      <c r="A1156" s="117">
        <v>46091.34375112268</v>
      </c>
      <c r="B1156" s="118">
        <v>46087.0</v>
      </c>
      <c r="C1156" s="119" t="s">
        <v>798</v>
      </c>
      <c r="D1156" s="119">
        <v>12.5</v>
      </c>
      <c r="E1156" s="119" t="s">
        <v>687</v>
      </c>
      <c r="F1156" s="119" t="s">
        <v>1077</v>
      </c>
    </row>
    <row r="1157" ht="22.5" customHeight="1">
      <c r="A1157" s="117">
        <v>46092.31172304398</v>
      </c>
      <c r="B1157" s="118">
        <v>46091.0</v>
      </c>
      <c r="C1157" s="119" t="s">
        <v>337</v>
      </c>
      <c r="D1157" s="119">
        <v>0.1416</v>
      </c>
      <c r="E1157" s="119" t="s">
        <v>1073</v>
      </c>
      <c r="F1157" s="119" t="s">
        <v>1077</v>
      </c>
    </row>
    <row r="1158" ht="22.5" customHeight="1">
      <c r="A1158" s="117">
        <v>46092.31229216435</v>
      </c>
      <c r="B1158" s="118">
        <v>46091.0</v>
      </c>
      <c r="C1158" s="119" t="s">
        <v>501</v>
      </c>
      <c r="D1158" s="119">
        <v>0.375</v>
      </c>
      <c r="E1158" s="119" t="s">
        <v>1073</v>
      </c>
      <c r="F1158" s="119" t="s">
        <v>1077</v>
      </c>
    </row>
    <row r="1159" ht="22.5" customHeight="1">
      <c r="A1159" s="117">
        <v>46092.31267604166</v>
      </c>
      <c r="B1159" s="118">
        <v>46091.0</v>
      </c>
      <c r="C1159" s="119" t="s">
        <v>837</v>
      </c>
      <c r="D1159" s="119">
        <v>100.0</v>
      </c>
      <c r="E1159" s="119" t="s">
        <v>687</v>
      </c>
      <c r="F1159" s="119" t="s">
        <v>1077</v>
      </c>
    </row>
    <row r="1160" ht="22.5" customHeight="1">
      <c r="A1160" s="117">
        <v>46092.31301478009</v>
      </c>
      <c r="B1160" s="118">
        <v>46091.0</v>
      </c>
      <c r="C1160" s="119" t="s">
        <v>875</v>
      </c>
      <c r="D1160" s="119">
        <v>50.0</v>
      </c>
      <c r="E1160" s="119" t="s">
        <v>687</v>
      </c>
      <c r="F1160" s="119" t="s">
        <v>1100</v>
      </c>
    </row>
    <row r="1161" ht="22.5" customHeight="1">
      <c r="A1161" s="117">
        <v>46113.34719917824</v>
      </c>
      <c r="B1161" s="118">
        <v>46112.0</v>
      </c>
      <c r="C1161" s="119" t="s">
        <v>470</v>
      </c>
      <c r="D1161" s="119">
        <v>8.005</v>
      </c>
      <c r="E1161" s="119" t="s">
        <v>1073</v>
      </c>
      <c r="F1161" s="119" t="s">
        <v>1099</v>
      </c>
    </row>
    <row r="1162">
      <c r="A1162" s="123"/>
      <c r="B1162" s="123"/>
      <c r="C1162" s="123"/>
      <c r="D1162" s="123"/>
      <c r="E1162" s="123"/>
      <c r="F1162" s="123"/>
    </row>
    <row r="1163">
      <c r="A1163" s="123"/>
      <c r="B1163" s="123"/>
      <c r="C1163" s="123"/>
      <c r="D1163" s="123"/>
      <c r="E1163" s="123"/>
      <c r="F1163" s="123"/>
    </row>
    <row r="1164">
      <c r="A1164" s="123"/>
      <c r="B1164" s="123"/>
      <c r="C1164" s="123"/>
      <c r="D1164" s="123"/>
      <c r="E1164" s="123"/>
      <c r="F1164" s="123"/>
    </row>
    <row r="1165">
      <c r="A1165" s="123"/>
      <c r="B1165" s="123"/>
      <c r="C1165" s="123"/>
      <c r="D1165" s="123"/>
      <c r="E1165" s="123"/>
      <c r="F1165" s="123"/>
    </row>
    <row r="1166">
      <c r="A1166" s="123"/>
      <c r="B1166" s="123"/>
      <c r="C1166" s="123"/>
      <c r="D1166" s="123"/>
      <c r="E1166" s="123"/>
      <c r="F1166" s="123"/>
    </row>
    <row r="1167">
      <c r="A1167" s="123"/>
      <c r="B1167" s="123"/>
      <c r="C1167" s="123"/>
      <c r="D1167" s="123"/>
      <c r="E1167" s="123"/>
      <c r="F1167" s="123"/>
    </row>
    <row r="1168">
      <c r="A1168" s="124"/>
      <c r="B1168" s="124"/>
      <c r="C1168" s="124"/>
      <c r="D1168" s="124"/>
      <c r="E1168" s="124"/>
      <c r="F1168" s="124"/>
    </row>
    <row r="1169">
      <c r="A1169" s="124"/>
      <c r="B1169" s="124"/>
      <c r="C1169" s="124"/>
      <c r="D1169" s="124"/>
      <c r="E1169" s="124"/>
      <c r="F1169" s="124"/>
    </row>
    <row r="1170">
      <c r="A1170" s="124"/>
      <c r="B1170" s="124"/>
      <c r="C1170" s="124"/>
      <c r="D1170" s="124"/>
      <c r="E1170" s="124"/>
      <c r="F1170" s="124"/>
    </row>
    <row r="1171">
      <c r="A1171" s="124"/>
      <c r="B1171" s="124"/>
      <c r="C1171" s="124"/>
      <c r="D1171" s="124"/>
      <c r="E1171" s="124"/>
      <c r="F1171" s="124"/>
    </row>
    <row r="1172">
      <c r="A1172" s="124"/>
      <c r="B1172" s="124"/>
      <c r="C1172" s="124"/>
      <c r="D1172" s="124"/>
      <c r="E1172" s="124"/>
      <c r="F1172" s="124"/>
    </row>
    <row r="1173">
      <c r="A1173" s="124"/>
      <c r="B1173" s="124"/>
      <c r="C1173" s="124"/>
      <c r="D1173" s="124"/>
      <c r="E1173" s="124"/>
      <c r="F1173" s="124"/>
    </row>
    <row r="1174">
      <c r="A1174" s="124"/>
      <c r="B1174" s="124"/>
      <c r="C1174" s="124"/>
      <c r="D1174" s="124"/>
      <c r="E1174" s="124"/>
      <c r="F1174" s="124"/>
    </row>
    <row r="1175">
      <c r="A1175" s="124"/>
      <c r="B1175" s="124"/>
      <c r="C1175" s="124"/>
      <c r="D1175" s="124"/>
      <c r="E1175" s="124"/>
      <c r="F1175" s="124"/>
    </row>
    <row r="1176">
      <c r="A1176" s="124"/>
      <c r="B1176" s="124"/>
      <c r="C1176" s="124"/>
      <c r="D1176" s="124"/>
      <c r="E1176" s="124"/>
      <c r="F1176" s="124"/>
    </row>
    <row r="1177">
      <c r="A1177" s="124"/>
      <c r="B1177" s="124"/>
      <c r="C1177" s="124"/>
      <c r="D1177" s="124"/>
      <c r="E1177" s="124"/>
      <c r="F1177" s="124"/>
    </row>
    <row r="1178">
      <c r="A1178" s="124"/>
      <c r="B1178" s="124"/>
      <c r="C1178" s="124"/>
      <c r="D1178" s="124"/>
      <c r="E1178" s="124"/>
      <c r="F1178" s="124"/>
    </row>
    <row r="1179">
      <c r="A1179" s="124"/>
      <c r="B1179" s="124"/>
      <c r="C1179" s="124"/>
      <c r="D1179" s="124"/>
      <c r="E1179" s="124"/>
      <c r="F1179" s="124"/>
    </row>
    <row r="1180">
      <c r="A1180" s="124"/>
      <c r="B1180" s="124"/>
      <c r="C1180" s="124"/>
      <c r="D1180" s="124"/>
      <c r="E1180" s="124"/>
      <c r="F1180" s="124"/>
    </row>
    <row r="1181">
      <c r="A1181" s="124"/>
      <c r="B1181" s="124"/>
      <c r="C1181" s="124"/>
      <c r="D1181" s="124"/>
      <c r="E1181" s="124"/>
      <c r="F1181" s="124"/>
    </row>
    <row r="1182">
      <c r="A1182" s="124"/>
      <c r="B1182" s="124"/>
      <c r="C1182" s="124"/>
      <c r="D1182" s="124"/>
      <c r="E1182" s="124"/>
      <c r="F1182" s="124"/>
    </row>
    <row r="1183">
      <c r="A1183" s="124"/>
      <c r="B1183" s="124"/>
      <c r="C1183" s="124"/>
      <c r="D1183" s="124"/>
      <c r="E1183" s="124"/>
      <c r="F1183" s="124"/>
    </row>
    <row r="1184">
      <c r="A1184" s="124"/>
      <c r="B1184" s="124"/>
      <c r="C1184" s="124"/>
      <c r="D1184" s="124"/>
      <c r="E1184" s="124"/>
      <c r="F1184" s="124"/>
    </row>
    <row r="1185">
      <c r="A1185" s="124"/>
      <c r="B1185" s="124"/>
      <c r="C1185" s="124"/>
      <c r="D1185" s="124"/>
      <c r="E1185" s="124"/>
      <c r="F1185" s="124"/>
    </row>
    <row r="1186">
      <c r="A1186" s="124"/>
      <c r="B1186" s="124"/>
      <c r="C1186" s="124"/>
      <c r="D1186" s="124"/>
      <c r="E1186" s="124"/>
      <c r="F1186" s="124"/>
    </row>
    <row r="1187">
      <c r="A1187" s="124"/>
      <c r="B1187" s="124"/>
      <c r="C1187" s="124"/>
      <c r="D1187" s="124"/>
      <c r="E1187" s="124"/>
      <c r="F1187" s="124"/>
    </row>
    <row r="1188">
      <c r="A1188" s="124"/>
      <c r="B1188" s="124"/>
      <c r="C1188" s="124"/>
      <c r="D1188" s="124"/>
      <c r="E1188" s="124"/>
      <c r="F1188" s="124"/>
    </row>
    <row r="1189">
      <c r="A1189" s="124"/>
      <c r="B1189" s="124"/>
      <c r="C1189" s="124"/>
      <c r="D1189" s="124"/>
      <c r="E1189" s="124"/>
      <c r="F1189" s="124"/>
    </row>
    <row r="1190">
      <c r="A1190" s="124"/>
      <c r="B1190" s="124"/>
      <c r="C1190" s="124"/>
      <c r="D1190" s="124"/>
      <c r="E1190" s="124"/>
      <c r="F1190" s="124"/>
    </row>
    <row r="1191">
      <c r="A1191" s="124"/>
      <c r="B1191" s="124"/>
      <c r="C1191" s="124"/>
      <c r="D1191" s="124"/>
      <c r="E1191" s="124"/>
      <c r="F1191" s="124"/>
    </row>
    <row r="1192">
      <c r="A1192" s="124"/>
      <c r="B1192" s="124"/>
      <c r="C1192" s="124"/>
      <c r="D1192" s="124"/>
      <c r="E1192" s="124"/>
      <c r="F1192" s="124"/>
    </row>
    <row r="1193">
      <c r="A1193" s="124"/>
      <c r="B1193" s="124"/>
      <c r="C1193" s="124"/>
      <c r="D1193" s="124"/>
      <c r="E1193" s="124"/>
      <c r="F1193" s="124"/>
    </row>
    <row r="1194">
      <c r="A1194" s="124"/>
      <c r="B1194" s="124"/>
      <c r="C1194" s="124"/>
      <c r="D1194" s="124"/>
      <c r="E1194" s="124"/>
      <c r="F1194" s="124"/>
    </row>
    <row r="1195">
      <c r="A1195" s="124"/>
      <c r="B1195" s="124"/>
      <c r="C1195" s="124"/>
      <c r="D1195" s="124"/>
      <c r="E1195" s="124"/>
      <c r="F1195" s="124"/>
    </row>
    <row r="1196">
      <c r="A1196" s="124"/>
      <c r="B1196" s="124"/>
      <c r="C1196" s="124"/>
      <c r="D1196" s="124"/>
      <c r="E1196" s="124"/>
      <c r="F1196" s="124"/>
    </row>
    <row r="1197">
      <c r="A1197" s="124"/>
      <c r="B1197" s="124"/>
      <c r="C1197" s="124"/>
      <c r="D1197" s="124"/>
      <c r="E1197" s="124"/>
      <c r="F1197" s="124"/>
    </row>
    <row r="1198">
      <c r="A1198" s="124"/>
      <c r="B1198" s="124"/>
      <c r="C1198" s="124"/>
      <c r="D1198" s="124"/>
      <c r="E1198" s="124"/>
      <c r="F1198" s="124"/>
    </row>
    <row r="1199">
      <c r="A1199" s="124"/>
      <c r="B1199" s="124"/>
      <c r="C1199" s="124"/>
      <c r="D1199" s="124"/>
      <c r="E1199" s="124"/>
      <c r="F1199" s="124"/>
    </row>
    <row r="1200">
      <c r="A1200" s="124"/>
      <c r="B1200" s="124"/>
      <c r="C1200" s="124"/>
      <c r="D1200" s="124"/>
      <c r="E1200" s="124"/>
      <c r="F1200" s="124"/>
    </row>
    <row r="1201">
      <c r="A1201" s="124"/>
      <c r="B1201" s="124"/>
      <c r="C1201" s="124"/>
      <c r="D1201" s="124"/>
      <c r="E1201" s="124"/>
      <c r="F1201" s="124"/>
    </row>
    <row r="1202">
      <c r="A1202" s="124"/>
      <c r="B1202" s="124"/>
      <c r="C1202" s="124"/>
      <c r="D1202" s="124"/>
      <c r="E1202" s="124"/>
      <c r="F1202" s="124"/>
    </row>
    <row r="1203">
      <c r="A1203" s="124"/>
      <c r="B1203" s="124"/>
      <c r="C1203" s="124"/>
      <c r="D1203" s="124"/>
      <c r="E1203" s="124"/>
      <c r="F1203" s="124"/>
    </row>
    <row r="1204">
      <c r="A1204" s="124"/>
      <c r="B1204" s="124"/>
      <c r="C1204" s="124"/>
      <c r="D1204" s="124"/>
      <c r="E1204" s="124"/>
      <c r="F1204" s="124"/>
    </row>
    <row r="1205">
      <c r="A1205" s="124"/>
      <c r="B1205" s="124"/>
      <c r="C1205" s="124"/>
      <c r="D1205" s="124"/>
      <c r="E1205" s="124"/>
      <c r="F1205" s="124"/>
    </row>
    <row r="1206">
      <c r="A1206" s="124"/>
      <c r="B1206" s="124"/>
      <c r="C1206" s="124"/>
      <c r="D1206" s="124"/>
      <c r="E1206" s="124"/>
      <c r="F1206" s="124"/>
    </row>
    <row r="1207">
      <c r="A1207" s="124"/>
      <c r="B1207" s="124"/>
      <c r="C1207" s="124"/>
      <c r="D1207" s="124"/>
      <c r="E1207" s="124"/>
      <c r="F1207" s="124"/>
    </row>
    <row r="1208">
      <c r="A1208" s="124"/>
      <c r="B1208" s="124"/>
      <c r="C1208" s="124"/>
      <c r="D1208" s="124"/>
      <c r="E1208" s="124"/>
      <c r="F1208" s="124"/>
    </row>
    <row r="1209">
      <c r="A1209" s="124"/>
      <c r="B1209" s="124"/>
      <c r="C1209" s="124"/>
      <c r="D1209" s="124"/>
      <c r="E1209" s="124"/>
      <c r="F1209" s="124"/>
    </row>
    <row r="1210">
      <c r="A1210" s="124"/>
      <c r="B1210" s="124"/>
      <c r="C1210" s="124"/>
      <c r="D1210" s="124"/>
      <c r="E1210" s="124"/>
      <c r="F1210" s="124"/>
    </row>
    <row r="1211">
      <c r="A1211" s="124"/>
      <c r="B1211" s="124"/>
      <c r="C1211" s="124"/>
      <c r="D1211" s="124"/>
      <c r="E1211" s="124"/>
      <c r="F1211" s="124"/>
    </row>
    <row r="1212">
      <c r="A1212" s="124"/>
      <c r="B1212" s="124"/>
      <c r="C1212" s="124"/>
      <c r="D1212" s="124"/>
      <c r="E1212" s="124"/>
      <c r="F1212" s="124"/>
    </row>
    <row r="1213">
      <c r="A1213" s="124"/>
      <c r="B1213" s="124"/>
      <c r="C1213" s="124"/>
      <c r="D1213" s="124"/>
      <c r="E1213" s="124"/>
      <c r="F1213" s="124"/>
    </row>
    <row r="1214">
      <c r="A1214" s="124"/>
      <c r="B1214" s="124"/>
      <c r="C1214" s="124"/>
      <c r="D1214" s="124"/>
      <c r="E1214" s="124"/>
      <c r="F1214" s="124"/>
    </row>
    <row r="1215">
      <c r="A1215" s="124"/>
      <c r="B1215" s="124"/>
      <c r="C1215" s="124"/>
      <c r="D1215" s="124"/>
      <c r="E1215" s="124"/>
      <c r="F1215" s="124"/>
    </row>
    <row r="1216">
      <c r="A1216" s="124"/>
      <c r="B1216" s="124"/>
      <c r="C1216" s="124"/>
      <c r="D1216" s="124"/>
      <c r="E1216" s="124"/>
      <c r="F1216" s="124"/>
    </row>
    <row r="1217">
      <c r="A1217" s="124"/>
      <c r="B1217" s="124"/>
      <c r="C1217" s="124"/>
      <c r="D1217" s="124"/>
      <c r="E1217" s="124"/>
      <c r="F1217" s="124"/>
    </row>
    <row r="1218">
      <c r="A1218" s="124"/>
      <c r="B1218" s="124"/>
      <c r="C1218" s="124"/>
      <c r="D1218" s="124"/>
      <c r="E1218" s="124"/>
      <c r="F1218" s="124"/>
    </row>
    <row r="1219">
      <c r="A1219" s="124"/>
      <c r="B1219" s="124"/>
      <c r="C1219" s="124"/>
      <c r="D1219" s="124"/>
      <c r="E1219" s="124"/>
      <c r="F1219" s="124"/>
    </row>
    <row r="1220">
      <c r="A1220" s="124"/>
      <c r="B1220" s="124"/>
      <c r="C1220" s="124"/>
      <c r="D1220" s="124"/>
      <c r="E1220" s="124"/>
      <c r="F1220" s="124"/>
    </row>
    <row r="1221">
      <c r="A1221" s="124"/>
      <c r="B1221" s="124"/>
      <c r="C1221" s="124"/>
      <c r="D1221" s="124"/>
      <c r="E1221" s="124"/>
      <c r="F1221" s="124"/>
    </row>
    <row r="1222">
      <c r="A1222" s="124"/>
      <c r="B1222" s="124"/>
      <c r="C1222" s="124"/>
      <c r="D1222" s="124"/>
      <c r="E1222" s="124"/>
      <c r="F1222" s="124"/>
    </row>
    <row r="1223">
      <c r="A1223" s="124"/>
      <c r="B1223" s="124"/>
      <c r="C1223" s="124"/>
      <c r="D1223" s="124"/>
      <c r="E1223" s="124"/>
      <c r="F1223" s="124"/>
    </row>
    <row r="1224">
      <c r="A1224" s="124"/>
      <c r="B1224" s="124"/>
      <c r="C1224" s="124"/>
      <c r="D1224" s="124"/>
      <c r="E1224" s="124"/>
      <c r="F1224" s="124"/>
    </row>
    <row r="1225">
      <c r="A1225" s="124"/>
      <c r="B1225" s="124"/>
      <c r="C1225" s="124"/>
      <c r="D1225" s="124"/>
      <c r="E1225" s="124"/>
      <c r="F1225" s="124"/>
    </row>
    <row r="1226">
      <c r="A1226" s="124"/>
      <c r="B1226" s="124"/>
      <c r="C1226" s="124"/>
      <c r="D1226" s="124"/>
      <c r="E1226" s="124"/>
      <c r="F1226" s="124"/>
    </row>
    <row r="1227">
      <c r="A1227" s="124"/>
      <c r="B1227" s="124"/>
      <c r="C1227" s="124"/>
      <c r="D1227" s="124"/>
      <c r="E1227" s="124"/>
      <c r="F1227" s="124"/>
    </row>
    <row r="1228">
      <c r="A1228" s="124"/>
      <c r="B1228" s="124"/>
      <c r="C1228" s="124"/>
      <c r="D1228" s="124"/>
      <c r="E1228" s="124"/>
      <c r="F1228" s="124"/>
    </row>
    <row r="1229">
      <c r="A1229" s="124"/>
      <c r="B1229" s="124"/>
      <c r="C1229" s="124"/>
      <c r="D1229" s="124"/>
      <c r="E1229" s="124"/>
      <c r="F1229" s="124"/>
    </row>
    <row r="1230">
      <c r="A1230" s="124"/>
      <c r="B1230" s="124"/>
      <c r="C1230" s="124"/>
      <c r="D1230" s="124"/>
      <c r="E1230" s="124"/>
      <c r="F1230" s="124"/>
    </row>
    <row r="1231">
      <c r="A1231" s="124"/>
      <c r="B1231" s="124"/>
      <c r="C1231" s="124"/>
      <c r="D1231" s="124"/>
      <c r="E1231" s="124"/>
      <c r="F1231" s="124"/>
    </row>
    <row r="1232">
      <c r="A1232" s="124"/>
      <c r="B1232" s="124"/>
      <c r="C1232" s="124"/>
      <c r="D1232" s="124"/>
      <c r="E1232" s="124"/>
      <c r="F1232" s="124"/>
    </row>
    <row r="1233">
      <c r="A1233" s="124"/>
      <c r="B1233" s="124"/>
      <c r="C1233" s="124"/>
      <c r="D1233" s="124"/>
      <c r="E1233" s="124"/>
      <c r="F1233" s="124"/>
    </row>
    <row r="1234">
      <c r="A1234" s="124"/>
      <c r="B1234" s="124"/>
      <c r="C1234" s="124"/>
      <c r="D1234" s="124"/>
      <c r="E1234" s="124"/>
      <c r="F1234" s="124"/>
    </row>
    <row r="1235">
      <c r="A1235" s="124"/>
      <c r="B1235" s="124"/>
      <c r="C1235" s="124"/>
      <c r="D1235" s="124"/>
      <c r="E1235" s="124"/>
      <c r="F1235" s="124"/>
    </row>
    <row r="1236">
      <c r="A1236" s="124"/>
      <c r="B1236" s="124"/>
      <c r="C1236" s="124"/>
      <c r="D1236" s="124"/>
      <c r="E1236" s="124"/>
      <c r="F1236" s="124"/>
    </row>
    <row r="1237">
      <c r="A1237" s="124"/>
      <c r="B1237" s="124"/>
      <c r="C1237" s="124"/>
      <c r="D1237" s="124"/>
      <c r="E1237" s="124"/>
      <c r="F1237" s="124"/>
    </row>
    <row r="1238">
      <c r="A1238" s="124"/>
      <c r="B1238" s="124"/>
      <c r="C1238" s="124"/>
      <c r="D1238" s="124"/>
      <c r="E1238" s="124"/>
      <c r="F1238" s="124"/>
    </row>
    <row r="1239">
      <c r="A1239" s="124"/>
      <c r="B1239" s="124"/>
      <c r="C1239" s="124"/>
      <c r="D1239" s="124"/>
      <c r="E1239" s="124"/>
      <c r="F1239" s="124"/>
    </row>
    <row r="1240">
      <c r="A1240" s="124"/>
      <c r="B1240" s="124"/>
      <c r="C1240" s="124"/>
      <c r="D1240" s="124"/>
      <c r="E1240" s="124"/>
      <c r="F1240" s="124"/>
    </row>
    <row r="1241">
      <c r="A1241" s="124"/>
      <c r="B1241" s="124"/>
      <c r="C1241" s="124"/>
      <c r="D1241" s="124"/>
      <c r="E1241" s="124"/>
      <c r="F1241" s="124"/>
    </row>
    <row r="1242">
      <c r="A1242" s="124"/>
      <c r="B1242" s="124"/>
      <c r="C1242" s="124"/>
      <c r="D1242" s="124"/>
      <c r="E1242" s="124"/>
      <c r="F1242" s="124"/>
    </row>
    <row r="1243">
      <c r="A1243" s="124"/>
      <c r="B1243" s="124"/>
      <c r="C1243" s="124"/>
      <c r="D1243" s="124"/>
      <c r="E1243" s="124"/>
      <c r="F1243" s="124"/>
    </row>
    <row r="1244">
      <c r="A1244" s="124"/>
      <c r="B1244" s="124"/>
      <c r="C1244" s="124"/>
      <c r="D1244" s="124"/>
      <c r="E1244" s="124"/>
      <c r="F1244" s="124"/>
    </row>
    <row r="1245">
      <c r="A1245" s="124"/>
      <c r="B1245" s="124"/>
      <c r="C1245" s="124"/>
      <c r="D1245" s="124"/>
      <c r="E1245" s="124"/>
      <c r="F1245" s="124"/>
    </row>
    <row r="1246">
      <c r="A1246" s="124"/>
      <c r="B1246" s="124"/>
      <c r="C1246" s="124"/>
      <c r="D1246" s="124"/>
      <c r="E1246" s="124"/>
      <c r="F1246" s="124"/>
    </row>
    <row r="1247">
      <c r="A1247" s="124"/>
      <c r="B1247" s="124"/>
      <c r="C1247" s="124"/>
      <c r="D1247" s="124"/>
      <c r="E1247" s="124"/>
      <c r="F1247" s="124"/>
    </row>
    <row r="1248">
      <c r="A1248" s="124"/>
      <c r="B1248" s="124"/>
      <c r="C1248" s="124"/>
      <c r="D1248" s="124"/>
      <c r="E1248" s="124"/>
      <c r="F1248" s="124"/>
    </row>
    <row r="1249">
      <c r="A1249" s="124"/>
      <c r="B1249" s="124"/>
      <c r="C1249" s="124"/>
      <c r="D1249" s="124"/>
      <c r="E1249" s="124"/>
      <c r="F1249" s="124"/>
    </row>
    <row r="1250">
      <c r="A1250" s="124"/>
      <c r="B1250" s="124"/>
      <c r="C1250" s="124"/>
      <c r="D1250" s="124"/>
      <c r="E1250" s="124"/>
      <c r="F1250" s="124"/>
    </row>
    <row r="1251">
      <c r="A1251" s="124"/>
      <c r="B1251" s="124"/>
      <c r="C1251" s="124"/>
      <c r="D1251" s="124"/>
      <c r="E1251" s="124"/>
      <c r="F1251" s="124"/>
    </row>
    <row r="1252">
      <c r="A1252" s="124"/>
      <c r="B1252" s="124"/>
      <c r="C1252" s="124"/>
      <c r="D1252" s="124"/>
      <c r="E1252" s="124"/>
      <c r="F1252" s="124"/>
    </row>
    <row r="1253">
      <c r="A1253" s="124"/>
      <c r="B1253" s="124"/>
      <c r="C1253" s="124"/>
      <c r="D1253" s="124"/>
      <c r="E1253" s="124"/>
      <c r="F1253" s="124"/>
    </row>
    <row r="1254">
      <c r="A1254" s="124"/>
      <c r="B1254" s="124"/>
      <c r="C1254" s="124"/>
      <c r="D1254" s="124"/>
      <c r="E1254" s="124"/>
      <c r="F1254" s="124"/>
    </row>
    <row r="1255">
      <c r="A1255" s="124"/>
      <c r="B1255" s="124"/>
      <c r="C1255" s="124"/>
      <c r="D1255" s="124"/>
      <c r="E1255" s="124"/>
      <c r="F1255" s="124"/>
    </row>
    <row r="1256">
      <c r="A1256" s="124"/>
      <c r="B1256" s="124"/>
      <c r="C1256" s="124"/>
      <c r="D1256" s="124"/>
      <c r="E1256" s="124"/>
      <c r="F1256" s="124"/>
    </row>
    <row r="1257">
      <c r="A1257" s="124"/>
      <c r="B1257" s="124"/>
      <c r="C1257" s="124"/>
      <c r="D1257" s="124"/>
      <c r="E1257" s="124"/>
      <c r="F1257" s="124"/>
    </row>
    <row r="1258">
      <c r="A1258" s="124"/>
      <c r="B1258" s="124"/>
      <c r="C1258" s="124"/>
      <c r="D1258" s="124"/>
      <c r="E1258" s="124"/>
      <c r="F1258" s="124"/>
    </row>
    <row r="1259">
      <c r="A1259" s="124"/>
      <c r="B1259" s="124"/>
      <c r="C1259" s="124"/>
      <c r="D1259" s="124"/>
      <c r="E1259" s="124"/>
      <c r="F1259" s="124"/>
    </row>
    <row r="1260">
      <c r="A1260" s="124"/>
      <c r="B1260" s="124"/>
      <c r="C1260" s="124"/>
      <c r="D1260" s="124"/>
      <c r="E1260" s="124"/>
      <c r="F1260" s="124"/>
    </row>
    <row r="1261">
      <c r="A1261" s="124"/>
      <c r="B1261" s="124"/>
      <c r="C1261" s="124"/>
      <c r="D1261" s="124"/>
      <c r="E1261" s="124"/>
      <c r="F1261" s="12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5" t="s">
        <v>1101</v>
      </c>
      <c r="B1" s="126" t="s">
        <v>1058</v>
      </c>
    </row>
    <row r="2">
      <c r="A2" s="127" t="s">
        <v>1102</v>
      </c>
      <c r="B2" s="128" t="s">
        <v>1103</v>
      </c>
    </row>
    <row r="3">
      <c r="A3" s="127" t="s">
        <v>1104</v>
      </c>
      <c r="B3" s="128" t="s">
        <v>976</v>
      </c>
    </row>
    <row r="4">
      <c r="A4" s="127" t="s">
        <v>1105</v>
      </c>
      <c r="B4" s="128" t="s">
        <v>1106</v>
      </c>
    </row>
    <row r="5">
      <c r="A5" s="129"/>
      <c r="B5" s="130"/>
    </row>
    <row r="6">
      <c r="A6" s="129"/>
      <c r="B6" s="130"/>
    </row>
    <row r="7">
      <c r="A7" s="129"/>
      <c r="B7" s="130"/>
    </row>
  </sheetData>
  <drawing r:id="rId1"/>
</worksheet>
</file>